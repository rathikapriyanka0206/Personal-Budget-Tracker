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C:\Users\S.A Rathika Priyanka\Downloads\"/>
    </mc:Choice>
  </mc:AlternateContent>
  <xr:revisionPtr revIDLastSave="0" documentId="13_ncr:1_{E562B295-C442-44E1-9A51-6DC5AE9774C1}" xr6:coauthVersionLast="47" xr6:coauthVersionMax="47" xr10:uidLastSave="{00000000-0000-0000-0000-000000000000}"/>
  <bookViews>
    <workbookView xWindow="-108" yWindow="-108" windowWidth="23256" windowHeight="12456" activeTab="5" xr2:uid="{C843D6B8-AD49-47CD-A25B-69E3DDF04365}"/>
  </bookViews>
  <sheets>
    <sheet name="transactions" sheetId="1" r:id="rId1"/>
    <sheet name="PIVOT 1" sheetId="3" r:id="rId2"/>
    <sheet name="PIVOT 2" sheetId="4" r:id="rId3"/>
    <sheet name="PIVOT 3" sheetId="6" r:id="rId4"/>
    <sheet name="summary" sheetId="2" r:id="rId5"/>
    <sheet name="DASHBOARD " sheetId="8" r:id="rId6"/>
  </sheets>
  <definedNames>
    <definedName name="Slicer_CATEGORY">#N/A</definedName>
    <definedName name="Slicer_MONTH">#N/A</definedName>
    <definedName name="Slicer_TYPE">#N/A</definedName>
  </definedNames>
  <calcPr calcId="191029" iterateDelta="1E-4"/>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9" i="8" l="1"/>
  <c r="B10" i="2" l="1"/>
  <c r="B9" i="2"/>
  <c r="B8" i="2"/>
  <c r="B7" i="2"/>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E10" i="3"/>
  <c r="E9" i="3"/>
  <c r="E8" i="3"/>
  <c r="E7" i="3"/>
  <c r="E6" i="3"/>
  <c r="E5" i="3"/>
  <c r="E11" i="3" l="1"/>
</calcChain>
</file>

<file path=xl/sharedStrings.xml><?xml version="1.0" encoding="utf-8"?>
<sst xmlns="http://schemas.openxmlformats.org/spreadsheetml/2006/main" count="970" uniqueCount="61">
  <si>
    <t>Income</t>
  </si>
  <si>
    <t>Monthly Allowance</t>
  </si>
  <si>
    <t>Freelance Project</t>
  </si>
  <si>
    <t>Food</t>
  </si>
  <si>
    <t>Expense</t>
  </si>
  <si>
    <t>Groceries</t>
  </si>
  <si>
    <t>Shopping</t>
  </si>
  <si>
    <t>Clothing</t>
  </si>
  <si>
    <t>Education</t>
  </si>
  <si>
    <t>Stationery/Books</t>
  </si>
  <si>
    <t>Entertainment</t>
  </si>
  <si>
    <t>Movies/OTT</t>
  </si>
  <si>
    <t>Miscellaneous</t>
  </si>
  <si>
    <t>Utilities</t>
  </si>
  <si>
    <t>Electricity Bill</t>
  </si>
  <si>
    <t>Rent</t>
  </si>
  <si>
    <t>Rent &amp; Hostel Fee</t>
  </si>
  <si>
    <t>Wifi/Internet</t>
  </si>
  <si>
    <t>Online Course</t>
  </si>
  <si>
    <t>Outing with Friends</t>
  </si>
  <si>
    <t>Travel</t>
  </si>
  <si>
    <t>Fuel</t>
  </si>
  <si>
    <t>Mess/Canteen</t>
  </si>
  <si>
    <t>Mobile Recharge</t>
  </si>
  <si>
    <t>Internship Stipend</t>
  </si>
  <si>
    <t>Scholarship Credit</t>
  </si>
  <si>
    <t>Bus/Auto Fare</t>
  </si>
  <si>
    <t>S.NO</t>
  </si>
  <si>
    <t>DATE</t>
  </si>
  <si>
    <t>CATEGORY</t>
  </si>
  <si>
    <t>TYPE</t>
  </si>
  <si>
    <t xml:space="preserve">DESCRIPTION </t>
  </si>
  <si>
    <t>AMOUNT(Rs)</t>
  </si>
  <si>
    <t>MONTH</t>
  </si>
  <si>
    <t>Rs.345</t>
  </si>
  <si>
    <t>Type</t>
  </si>
  <si>
    <t>PERSONAL BUDGET SUMMARY</t>
  </si>
  <si>
    <t>Total Income</t>
  </si>
  <si>
    <t>Total Expenses</t>
  </si>
  <si>
    <t>Total Savings</t>
  </si>
  <si>
    <t>Savings Rate</t>
  </si>
  <si>
    <t>Apr-2026</t>
  </si>
  <si>
    <t>Aug-2026</t>
  </si>
  <si>
    <t>Jul-2026</t>
  </si>
  <si>
    <t>Jun-2026</t>
  </si>
  <si>
    <t>May-2026</t>
  </si>
  <si>
    <t>Sep-2026</t>
  </si>
  <si>
    <t>Grand Total</t>
  </si>
  <si>
    <t>Column Labels</t>
  </si>
  <si>
    <t>Sum of AMOUNT(Rs)</t>
  </si>
  <si>
    <t>Savings</t>
  </si>
  <si>
    <t>Month</t>
  </si>
  <si>
    <t>(All)</t>
  </si>
  <si>
    <t xml:space="preserve">Category </t>
  </si>
  <si>
    <t>PERSONAL BUDGET TRACKER</t>
  </si>
  <si>
    <t>Category</t>
  </si>
  <si>
    <t xml:space="preserve">Count </t>
  </si>
  <si>
    <t>PERCENTAGE(%)</t>
  </si>
  <si>
    <t xml:space="preserve">EXPENSES DISTRIBUTION </t>
  </si>
  <si>
    <t>MONTHLY EXPENSES vs INCOME</t>
  </si>
  <si>
    <t xml:space="preserve">TRANSACTION BY CATEGORY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</si>
</sst>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yyyy"/>
    <numFmt numFmtId="165" formatCode="&quot;Rs. &quot;#,##0"/>
    <numFmt numFmtId="166" formatCode="0.0"/>
    <numFmt numFmtId="167" formatCode="&quot;₹&quot;\ #,##0.0"/>
  </numFmts>
  <fonts count="16" x14ac:knownFonts="1">
    <font>
      <sz val="11"/>
      <color theme="1"/>
      <name val="Calibri"/>
      <family val="2"/>
      <scheme val="minor"/>
    </font>
    <font>
      <sz val="10"/>
      <name val="Arial"/>
      <family val="2"/>
    </font>
    <font>
      <b/>
      <sz val="10"/>
      <color rgb="FF2E7D32"/>
      <name val="Arial"/>
      <family val="2"/>
    </font>
    <font>
      <b/>
      <sz val="10"/>
      <color rgb="FFC0392B"/>
      <name val="Arial"/>
      <family val="2"/>
    </font>
    <font>
      <sz val="8"/>
      <name val="Calibri"/>
      <family val="2"/>
      <scheme val="minor"/>
    </font>
    <font>
      <sz val="11"/>
      <color theme="1"/>
      <name val="Calibri"/>
      <family val="2"/>
      <scheme val="minor"/>
    </font>
    <font>
      <b/>
      <sz val="11"/>
      <color theme="1"/>
      <name val="Calibri"/>
      <family val="2"/>
      <scheme val="minor"/>
    </font>
    <font>
      <sz val="31"/>
      <color theme="1"/>
      <name val="Calibri"/>
      <family val="2"/>
      <scheme val="minor"/>
    </font>
    <font>
      <sz val="54"/>
      <color theme="1"/>
      <name val="Calibri"/>
      <family val="2"/>
      <scheme val="minor"/>
    </font>
    <font>
      <b/>
      <sz val="29"/>
      <color theme="1"/>
      <name val="Times New Roman"/>
      <family val="1"/>
    </font>
    <font>
      <sz val="11"/>
      <color theme="0"/>
      <name val="Calibri"/>
      <family val="2"/>
      <scheme val="minor"/>
    </font>
    <font>
      <b/>
      <sz val="22"/>
      <color theme="1"/>
      <name val="Times New Roman"/>
      <family val="1"/>
    </font>
    <font>
      <b/>
      <sz val="54"/>
      <color theme="0"/>
      <name val="Times New Roman"/>
      <family val="1"/>
    </font>
    <font>
      <b/>
      <sz val="19"/>
      <color theme="1"/>
      <name val="Times New Roman"/>
      <family val="1"/>
    </font>
    <font>
      <b/>
      <sz val="19"/>
      <color theme="0"/>
      <name val="Times New Roman"/>
      <family val="1"/>
    </font>
    <font>
      <b/>
      <sz val="19"/>
      <color theme="1"/>
      <name val="Calibri"/>
      <family val="2"/>
      <scheme val="minor"/>
    </font>
  </fonts>
  <fills count="16">
    <fill>
      <patternFill patternType="none"/>
    </fill>
    <fill>
      <patternFill patternType="gray125"/>
    </fill>
    <fill>
      <patternFill patternType="solid">
        <fgColor rgb="FFF2F2F2"/>
        <bgColor rgb="FFFBF0DA"/>
      </patternFill>
    </fill>
    <fill>
      <patternFill patternType="solid">
        <fgColor theme="4" tint="0.79998168889431442"/>
        <bgColor theme="4" tint="0.79998168889431442"/>
      </patternFill>
    </fill>
    <fill>
      <patternFill patternType="solid">
        <fgColor rgb="FF002060"/>
        <bgColor indexed="64"/>
      </patternFill>
    </fill>
    <fill>
      <patternFill patternType="solid">
        <fgColor rgb="FFFFCCFF"/>
        <bgColor indexed="64"/>
      </patternFill>
    </fill>
    <fill>
      <patternFill patternType="solid">
        <fgColor theme="0"/>
        <bgColor indexed="64"/>
      </patternFill>
    </fill>
    <fill>
      <patternFill patternType="solid">
        <fgColor theme="0"/>
        <bgColor theme="4" tint="0.79998168889431442"/>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rgb="FF7030A0"/>
        <bgColor indexed="64"/>
      </patternFill>
    </fill>
    <fill>
      <patternFill patternType="solid">
        <fgColor rgb="FFFBCB7D"/>
        <bgColor indexed="64"/>
      </patternFill>
    </fill>
    <fill>
      <patternFill patternType="solid">
        <fgColor rgb="FFBC08A2"/>
        <bgColor indexed="64"/>
      </patternFill>
    </fill>
    <fill>
      <patternFill patternType="solid">
        <fgColor theme="5" tint="-0.499984740745262"/>
        <bgColor indexed="64"/>
      </patternFill>
    </fill>
    <fill>
      <patternFill patternType="solid">
        <fgColor theme="0" tint="-4.9989318521683403E-2"/>
        <bgColor indexed="64"/>
      </patternFill>
    </fill>
  </fills>
  <borders count="13">
    <border>
      <left/>
      <right/>
      <top/>
      <bottom/>
      <diagonal/>
    </border>
    <border>
      <left style="thin">
        <color rgb="FFBFBFBF"/>
      </left>
      <right style="thin">
        <color rgb="FFBFBFBF"/>
      </right>
      <top style="thin">
        <color rgb="FFBFBFBF"/>
      </top>
      <bottom style="thin">
        <color rgb="FFBFBFBF"/>
      </bottom>
      <diagonal/>
    </border>
    <border>
      <left/>
      <right/>
      <top/>
      <bottom style="thin">
        <color theme="4" tint="0.39997558519241921"/>
      </bottom>
      <diagonal/>
    </border>
    <border>
      <left style="thin">
        <color rgb="FFBFBFBF"/>
      </left>
      <right style="thin">
        <color rgb="FFBFBFBF"/>
      </right>
      <top style="thin">
        <color rgb="FFBFBFBF"/>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5" fillId="0" borderId="0" applyFont="0" applyFill="0" applyBorder="0" applyAlignment="0" applyProtection="0"/>
  </cellStyleXfs>
  <cellXfs count="60">
    <xf numFmtId="0" fontId="0" fillId="0" borderId="0" xfId="0"/>
    <xf numFmtId="0" fontId="1" fillId="2" borderId="1" xfId="0" applyFont="1" applyFill="1" applyBorder="1" applyAlignment="1">
      <alignment horizontal="center" vertical="center"/>
    </xf>
    <xf numFmtId="164" fontId="1" fillId="0" borderId="1" xfId="0" applyNumberFormat="1" applyFont="1" applyBorder="1" applyAlignment="1">
      <alignment horizontal="center" vertical="center"/>
    </xf>
    <xf numFmtId="0" fontId="2" fillId="0" borderId="1" xfId="0" applyFont="1" applyBorder="1" applyAlignment="1">
      <alignment horizontal="center" vertical="center"/>
    </xf>
    <xf numFmtId="0" fontId="1" fillId="2" borderId="1" xfId="0" applyFont="1" applyFill="1" applyBorder="1" applyAlignment="1">
      <alignment horizontal="left" vertical="center"/>
    </xf>
    <xf numFmtId="165"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3" fillId="0" borderId="1" xfId="0" applyFont="1" applyBorder="1" applyAlignment="1">
      <alignment horizontal="center" vertical="center"/>
    </xf>
    <xf numFmtId="0" fontId="6" fillId="0" borderId="0" xfId="0" applyFont="1" applyAlignment="1">
      <alignment horizontal="center" vertical="center" wrapText="1"/>
    </xf>
    <xf numFmtId="0" fontId="0" fillId="0" borderId="0" xfId="0" applyAlignment="1">
      <alignment vertical="center" wrapText="1"/>
    </xf>
    <xf numFmtId="0" fontId="6" fillId="0" borderId="0" xfId="0" applyFont="1" applyAlignment="1">
      <alignment vertical="center" wrapText="1"/>
    </xf>
    <xf numFmtId="0" fontId="0" fillId="0" borderId="0" xfId="0" pivotButton="1"/>
    <xf numFmtId="0" fontId="0" fillId="0" borderId="0" xfId="0" applyAlignment="1">
      <alignment horizontal="left"/>
    </xf>
    <xf numFmtId="0" fontId="6" fillId="3" borderId="2" xfId="0" applyFont="1" applyFill="1" applyBorder="1"/>
    <xf numFmtId="166" fontId="0" fillId="0" borderId="0" xfId="0" applyNumberFormat="1"/>
    <xf numFmtId="167" fontId="0" fillId="0" borderId="0" xfId="0" applyNumberFormat="1"/>
    <xf numFmtId="17" fontId="0" fillId="0" borderId="0" xfId="0" applyNumberFormat="1" applyAlignment="1">
      <alignment horizontal="left"/>
    </xf>
    <xf numFmtId="0" fontId="0" fillId="6" borderId="0" xfId="0" applyFill="1"/>
    <xf numFmtId="0" fontId="1" fillId="0" borderId="3" xfId="0" applyFont="1" applyBorder="1" applyAlignment="1">
      <alignment horizontal="center" vertical="center"/>
    </xf>
    <xf numFmtId="164" fontId="1" fillId="0" borderId="3" xfId="0" applyNumberFormat="1" applyFont="1" applyBorder="1" applyAlignment="1">
      <alignment horizontal="center" vertical="center"/>
    </xf>
    <xf numFmtId="0" fontId="3" fillId="0" borderId="3" xfId="0" applyFont="1" applyBorder="1" applyAlignment="1">
      <alignment horizontal="center" vertical="center"/>
    </xf>
    <xf numFmtId="0" fontId="1" fillId="0" borderId="3" xfId="0" applyFont="1" applyBorder="1" applyAlignment="1">
      <alignment horizontal="left" vertical="center"/>
    </xf>
    <xf numFmtId="165" fontId="1" fillId="0" borderId="3" xfId="0" applyNumberFormat="1" applyFont="1" applyBorder="1" applyAlignment="1">
      <alignment horizontal="center" vertical="center"/>
    </xf>
    <xf numFmtId="0" fontId="0" fillId="6" borderId="5" xfId="0" applyFill="1" applyBorder="1"/>
    <xf numFmtId="0" fontId="0" fillId="6" borderId="6" xfId="0" applyFill="1" applyBorder="1"/>
    <xf numFmtId="0" fontId="0" fillId="6" borderId="7" xfId="0" applyFill="1" applyBorder="1"/>
    <xf numFmtId="0" fontId="0" fillId="6" borderId="8" xfId="0" applyFill="1" applyBorder="1"/>
    <xf numFmtId="0" fontId="0" fillId="6" borderId="9" xfId="0" applyFill="1" applyBorder="1"/>
    <xf numFmtId="0" fontId="0" fillId="6" borderId="10" xfId="0" applyFill="1" applyBorder="1"/>
    <xf numFmtId="0" fontId="0" fillId="6" borderId="11" xfId="0" applyFill="1" applyBorder="1"/>
    <xf numFmtId="0" fontId="0" fillId="6" borderId="12" xfId="0" applyFill="1" applyBorder="1"/>
    <xf numFmtId="0" fontId="7" fillId="6" borderId="0" xfId="0" applyFont="1" applyFill="1" applyAlignment="1">
      <alignment vertical="top"/>
    </xf>
    <xf numFmtId="0" fontId="0" fillId="6" borderId="0" xfId="0" applyFill="1" applyAlignment="1">
      <alignment vertical="top"/>
    </xf>
    <xf numFmtId="0" fontId="0" fillId="5" borderId="0" xfId="0" applyFill="1" applyAlignment="1">
      <alignment vertical="center" wrapText="1"/>
    </xf>
    <xf numFmtId="0" fontId="10" fillId="13" borderId="0" xfId="0" applyFont="1" applyFill="1"/>
    <xf numFmtId="9" fontId="10" fillId="13" borderId="0" xfId="1" applyFont="1" applyFill="1"/>
    <xf numFmtId="0" fontId="13" fillId="7" borderId="4" xfId="0" applyFont="1" applyFill="1" applyBorder="1"/>
    <xf numFmtId="0" fontId="13" fillId="6" borderId="4" xfId="0" applyFont="1" applyFill="1" applyBorder="1"/>
    <xf numFmtId="0" fontId="14" fillId="8" borderId="4" xfId="0" applyFont="1" applyFill="1" applyBorder="1" applyAlignment="1">
      <alignment horizontal="left"/>
    </xf>
    <xf numFmtId="166" fontId="13" fillId="0" borderId="4" xfId="0" applyNumberFormat="1" applyFont="1" applyBorder="1"/>
    <xf numFmtId="0" fontId="15" fillId="6" borderId="4" xfId="0" applyFont="1" applyFill="1" applyBorder="1"/>
    <xf numFmtId="0" fontId="14" fillId="4" borderId="4" xfId="0" applyFont="1" applyFill="1" applyBorder="1" applyAlignment="1">
      <alignment horizontal="left"/>
    </xf>
    <xf numFmtId="0" fontId="14" fillId="9" borderId="4" xfId="0" applyFont="1" applyFill="1" applyBorder="1" applyAlignment="1">
      <alignment horizontal="left"/>
    </xf>
    <xf numFmtId="0" fontId="14" fillId="10" borderId="4" xfId="0" applyFont="1" applyFill="1" applyBorder="1" applyAlignment="1">
      <alignment horizontal="left"/>
    </xf>
    <xf numFmtId="0" fontId="14" fillId="11" borderId="4" xfId="0" applyFont="1" applyFill="1" applyBorder="1" applyAlignment="1">
      <alignment horizontal="left"/>
    </xf>
    <xf numFmtId="0" fontId="14" fillId="12" borderId="4" xfId="0" applyFont="1" applyFill="1" applyBorder="1" applyAlignment="1">
      <alignment horizontal="left"/>
    </xf>
    <xf numFmtId="0" fontId="14" fillId="13" borderId="4" xfId="0" applyFont="1" applyFill="1" applyBorder="1" applyAlignment="1">
      <alignment horizontal="left"/>
    </xf>
    <xf numFmtId="0" fontId="14" fillId="14" borderId="4" xfId="0" applyFont="1" applyFill="1" applyBorder="1" applyAlignment="1">
      <alignment horizontal="left"/>
    </xf>
    <xf numFmtId="0" fontId="13" fillId="7" borderId="4" xfId="0" applyFont="1" applyFill="1" applyBorder="1" applyAlignment="1">
      <alignment horizontal="left"/>
    </xf>
    <xf numFmtId="166" fontId="13" fillId="7" borderId="4" xfId="0" applyNumberFormat="1" applyFont="1" applyFill="1" applyBorder="1"/>
    <xf numFmtId="0" fontId="0" fillId="4" borderId="0" xfId="0" applyFill="1"/>
    <xf numFmtId="0" fontId="12" fillId="4" borderId="0" xfId="0" applyFont="1" applyFill="1" applyAlignment="1">
      <alignment horizontal="center"/>
    </xf>
    <xf numFmtId="0" fontId="8" fillId="4" borderId="0" xfId="0" applyFont="1" applyFill="1" applyAlignment="1">
      <alignment horizontal="center"/>
    </xf>
    <xf numFmtId="0" fontId="9" fillId="6" borderId="0" xfId="0" applyFont="1" applyFill="1" applyAlignment="1">
      <alignment horizontal="center"/>
    </xf>
    <xf numFmtId="0" fontId="0" fillId="6" borderId="0" xfId="0" applyFill="1" applyAlignment="1">
      <alignment horizontal="center"/>
    </xf>
    <xf numFmtId="0" fontId="11" fillId="6" borderId="6" xfId="0" applyFont="1" applyFill="1" applyBorder="1" applyAlignment="1">
      <alignment horizontal="center"/>
    </xf>
    <xf numFmtId="0" fontId="0" fillId="6" borderId="6" xfId="0" applyFill="1" applyBorder="1" applyAlignment="1">
      <alignment horizontal="center"/>
    </xf>
    <xf numFmtId="0" fontId="0" fillId="15" borderId="0" xfId="0" applyFill="1" applyAlignment="1">
      <alignment horizontal="center" vertical="center" wrapText="1"/>
    </xf>
    <xf numFmtId="0" fontId="6" fillId="15" borderId="0" xfId="0" applyFont="1" applyFill="1" applyAlignment="1">
      <alignment horizontal="center" vertical="center" wrapText="1"/>
    </xf>
  </cellXfs>
  <cellStyles count="2">
    <cellStyle name="Normal" xfId="0" builtinId="0"/>
    <cellStyle name="Percent" xfId="1" builtinId="5"/>
  </cellStyles>
  <dxfs count="13">
    <dxf>
      <fill>
        <patternFill>
          <bgColor rgb="FFFFFF00"/>
        </patternFill>
      </fill>
    </dxf>
    <dxf>
      <numFmt numFmtId="166" formatCode="0.0"/>
    </dxf>
    <dxf>
      <numFmt numFmtId="167" formatCode="&quot;₹&quot;\ #,##0.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numFmt numFmtId="165" formatCode="&quot;Rs. &quot;#,##0"/>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i val="0"/>
        <strike val="0"/>
        <condense val="0"/>
        <extend val="0"/>
        <outline val="0"/>
        <shadow val="0"/>
        <u val="none"/>
        <vertAlign val="baseline"/>
        <sz val="10"/>
        <color rgb="FFC0392B"/>
        <name val="Arial"/>
        <family val="2"/>
        <scheme val="none"/>
      </font>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numFmt numFmtId="164" formatCode="dd\-mmm\-yyyy"/>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border outline="0">
        <bottom style="thin">
          <color rgb="FFBFBFBF"/>
        </bottom>
      </border>
    </dxf>
    <dxf>
      <fill>
        <patternFill patternType="darkHorizontal">
          <fgColor rgb="FFFFCCFF"/>
          <bgColor rgb="FFC80891"/>
        </patternFill>
      </fill>
    </dxf>
    <dxf>
      <fill>
        <patternFill>
          <bgColor rgb="FF7030A0"/>
        </patternFill>
      </fill>
    </dxf>
  </dxfs>
  <tableStyles count="2" defaultTableStyle="TableStyleMedium2" defaultPivotStyle="PivotStyleLight16">
    <tableStyle name="Slicer Style 1" pivot="0" table="0" count="1" xr9:uid="{37C1943D-C8AD-40A3-9EC7-0D0921ABBF94}">
      <tableStyleElement type="wholeTable" dxfId="12"/>
    </tableStyle>
    <tableStyle name="Slicer Style 2" pivot="0" table="0" count="1" xr9:uid="{0E4B1BB6-EFF4-4029-B3A9-A410D91FF0B4}">
      <tableStyleElement type="headerRow" dxfId="11"/>
    </tableStyle>
  </tableStyles>
  <colors>
    <mruColors>
      <color rgb="FFFFCCFF"/>
      <color rgb="FFC80891"/>
      <color rgb="FFBC08A2"/>
      <color rgb="FFFBCB7D"/>
      <color rgb="FFFAD2F7"/>
      <color rgb="FFCDF4FF"/>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one.xlsx]PIVOT 1!PivotTable1</c:name>
    <c:fmtId val="3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 Expenses vs Income </a:t>
            </a:r>
          </a:p>
          <a:p>
            <a:pPr>
              <a:defRPr/>
            </a:pPr>
            <a:endParaRPr lang="en-IN"/>
          </a:p>
        </c:rich>
      </c:tx>
      <c:layout>
        <c:manualLayout>
          <c:xMode val="edge"/>
          <c:yMode val="edge"/>
          <c:x val="0.26633966891477617"/>
          <c:y val="0.1100904053659959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1'!$B$3:$B$4</c:f>
              <c:strCache>
                <c:ptCount val="1"/>
                <c:pt idx="0">
                  <c:v>Expense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1'!$A$5:$A$11</c:f>
              <c:strCache>
                <c:ptCount val="6"/>
                <c:pt idx="0">
                  <c:v>Apr-2026</c:v>
                </c:pt>
                <c:pt idx="1">
                  <c:v>Aug-2026</c:v>
                </c:pt>
                <c:pt idx="2">
                  <c:v>Jul-2026</c:v>
                </c:pt>
                <c:pt idx="3">
                  <c:v>Jun-2026</c:v>
                </c:pt>
                <c:pt idx="4">
                  <c:v>May-2026</c:v>
                </c:pt>
                <c:pt idx="5">
                  <c:v>Sep-2026</c:v>
                </c:pt>
              </c:strCache>
            </c:strRef>
          </c:cat>
          <c:val>
            <c:numRef>
              <c:f>'PIVOT 1'!$B$5:$B$11</c:f>
              <c:numCache>
                <c:formatCode>"₹"\ #,##0.0</c:formatCode>
                <c:ptCount val="6"/>
                <c:pt idx="0">
                  <c:v>38789.420793433717</c:v>
                </c:pt>
                <c:pt idx="1">
                  <c:v>22099.60615595082</c:v>
                </c:pt>
                <c:pt idx="2">
                  <c:v>27926.896247801538</c:v>
                </c:pt>
                <c:pt idx="3">
                  <c:v>28758.647606019244</c:v>
                </c:pt>
                <c:pt idx="4">
                  <c:v>32490.291029900403</c:v>
                </c:pt>
                <c:pt idx="5">
                  <c:v>18903.31147156539</c:v>
                </c:pt>
              </c:numCache>
            </c:numRef>
          </c:val>
          <c:extLst>
            <c:ext xmlns:c16="http://schemas.microsoft.com/office/drawing/2014/chart" uri="{C3380CC4-5D6E-409C-BE32-E72D297353CC}">
              <c16:uniqueId val="{00000000-FE2B-4868-9553-11A027AA71A5}"/>
            </c:ext>
          </c:extLst>
        </c:ser>
        <c:ser>
          <c:idx val="1"/>
          <c:order val="1"/>
          <c:tx>
            <c:strRef>
              <c:f>'PIVOT 1'!$C$3:$C$4</c:f>
              <c:strCache>
                <c:ptCount val="1"/>
                <c:pt idx="0">
                  <c:v>Income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1'!$A$5:$A$11</c:f>
              <c:strCache>
                <c:ptCount val="6"/>
                <c:pt idx="0">
                  <c:v>Apr-2026</c:v>
                </c:pt>
                <c:pt idx="1">
                  <c:v>Aug-2026</c:v>
                </c:pt>
                <c:pt idx="2">
                  <c:v>Jul-2026</c:v>
                </c:pt>
                <c:pt idx="3">
                  <c:v>Jun-2026</c:v>
                </c:pt>
                <c:pt idx="4">
                  <c:v>May-2026</c:v>
                </c:pt>
                <c:pt idx="5">
                  <c:v>Sep-2026</c:v>
                </c:pt>
              </c:strCache>
            </c:strRef>
          </c:cat>
          <c:val>
            <c:numRef>
              <c:f>'PIVOT 1'!$C$5:$C$11</c:f>
              <c:numCache>
                <c:formatCode>"₹"\ #,##0.0</c:formatCode>
                <c:ptCount val="6"/>
                <c:pt idx="0">
                  <c:v>13061.019015047885</c:v>
                </c:pt>
                <c:pt idx="1">
                  <c:v>20422.343834277905</c:v>
                </c:pt>
                <c:pt idx="2">
                  <c:v>20412.690482704718</c:v>
                </c:pt>
                <c:pt idx="3">
                  <c:v>17111.633320304878</c:v>
                </c:pt>
                <c:pt idx="4">
                  <c:v>13306.454582763343</c:v>
                </c:pt>
                <c:pt idx="5">
                  <c:v>7213.6459839749887</c:v>
                </c:pt>
              </c:numCache>
            </c:numRef>
          </c:val>
          <c:extLst>
            <c:ext xmlns:c16="http://schemas.microsoft.com/office/drawing/2014/chart" uri="{C3380CC4-5D6E-409C-BE32-E72D297353CC}">
              <c16:uniqueId val="{00000001-8D35-4092-BEA3-40E36C9D9AA8}"/>
            </c:ext>
          </c:extLst>
        </c:ser>
        <c:dLbls>
          <c:showLegendKey val="0"/>
          <c:showVal val="0"/>
          <c:showCatName val="0"/>
          <c:showSerName val="0"/>
          <c:showPercent val="0"/>
          <c:showBubbleSize val="0"/>
        </c:dLbls>
        <c:gapWidth val="100"/>
        <c:overlap val="-24"/>
        <c:axId val="1838303216"/>
        <c:axId val="1758349744"/>
      </c:barChart>
      <c:catAx>
        <c:axId val="18383032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349744"/>
        <c:crosses val="autoZero"/>
        <c:auto val="1"/>
        <c:lblAlgn val="ctr"/>
        <c:lblOffset val="100"/>
        <c:noMultiLvlLbl val="0"/>
      </c:catAx>
      <c:valAx>
        <c:axId val="17583497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30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one.xlsx]PIVOT 2!PivotTable2</c:name>
    <c:fmtId val="2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Expenses Distribution By Category</a:t>
            </a:r>
          </a:p>
          <a:p>
            <a:pPr>
              <a:defRPr/>
            </a:pPr>
            <a:endParaRPr lang="en-IN"/>
          </a:p>
        </c:rich>
      </c:tx>
      <c:layout>
        <c:manualLayout>
          <c:xMode val="edge"/>
          <c:yMode val="edge"/>
          <c:x val="9.339754689754691E-2"/>
          <c:y val="0.228444844124700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2'!$B$3</c:f>
              <c:strCache>
                <c:ptCount val="1"/>
                <c:pt idx="0">
                  <c:v>Total</c:v>
                </c:pt>
              </c:strCache>
            </c:strRef>
          </c:tx>
          <c:explosion val="11"/>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B51-4DBA-9342-4824A415D6E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B51-4DBA-9342-4824A415D6E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B51-4DBA-9342-4824A415D6E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B51-4DBA-9342-4824A415D6E6}"/>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CB51-4DBA-9342-4824A415D6E6}"/>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CB51-4DBA-9342-4824A415D6E6}"/>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CB51-4DBA-9342-4824A415D6E6}"/>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CB51-4DBA-9342-4824A415D6E6}"/>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90E7-4E01-822D-D93F606AD01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2'!$A$4:$A$13</c:f>
              <c:strCache>
                <c:ptCount val="9"/>
                <c:pt idx="0">
                  <c:v>Education</c:v>
                </c:pt>
                <c:pt idx="1">
                  <c:v>Entertainment</c:v>
                </c:pt>
                <c:pt idx="2">
                  <c:v>Food</c:v>
                </c:pt>
                <c:pt idx="3">
                  <c:v>Income</c:v>
                </c:pt>
                <c:pt idx="4">
                  <c:v>Miscellaneous</c:v>
                </c:pt>
                <c:pt idx="5">
                  <c:v>Rent</c:v>
                </c:pt>
                <c:pt idx="6">
                  <c:v>Shopping</c:v>
                </c:pt>
                <c:pt idx="7">
                  <c:v>Travel</c:v>
                </c:pt>
                <c:pt idx="8">
                  <c:v>Utilities</c:v>
                </c:pt>
              </c:strCache>
            </c:strRef>
          </c:cat>
          <c:val>
            <c:numRef>
              <c:f>'PIVOT 2'!$B$4:$B$13</c:f>
              <c:numCache>
                <c:formatCode>0.0</c:formatCode>
                <c:ptCount val="9"/>
                <c:pt idx="0">
                  <c:v>23705.945358608631</c:v>
                </c:pt>
                <c:pt idx="1">
                  <c:v>24349.333085792518</c:v>
                </c:pt>
                <c:pt idx="2">
                  <c:v>27618.556732460504</c:v>
                </c:pt>
                <c:pt idx="3">
                  <c:v>91527.787219073754</c:v>
                </c:pt>
                <c:pt idx="4">
                  <c:v>9155.8261872190851</c:v>
                </c:pt>
                <c:pt idx="5">
                  <c:v>26289.656282978336</c:v>
                </c:pt>
                <c:pt idx="6">
                  <c:v>7395.880867695937</c:v>
                </c:pt>
                <c:pt idx="7">
                  <c:v>17944.598221614287</c:v>
                </c:pt>
                <c:pt idx="8">
                  <c:v>32508.376568301817</c:v>
                </c:pt>
              </c:numCache>
            </c:numRef>
          </c:val>
          <c:extLst>
            <c:ext xmlns:c16="http://schemas.microsoft.com/office/drawing/2014/chart" uri="{C3380CC4-5D6E-409C-BE32-E72D297353CC}">
              <c16:uniqueId val="{00000010-CB51-4DBA-9342-4824A415D6E6}"/>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one.xlsx]PIVOT 3!PivotTable1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lumMod val="95000"/>
                    <a:lumOff val="5000"/>
                  </a:schemeClr>
                </a:solidFill>
              </a:rPr>
              <a:t>TRANSACTIONS</a:t>
            </a:r>
            <a:r>
              <a:rPr lang="en-IN" sz="1600" b="1" baseline="0">
                <a:solidFill>
                  <a:schemeClr val="tx1">
                    <a:lumMod val="95000"/>
                    <a:lumOff val="5000"/>
                  </a:schemeClr>
                </a:solidFill>
              </a:rPr>
              <a:t> BY CATEGORY</a:t>
            </a:r>
            <a:endParaRPr lang="en-IN" sz="16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3'!$B$3</c:f>
              <c:strCache>
                <c:ptCount val="1"/>
                <c:pt idx="0">
                  <c:v>Total</c:v>
                </c:pt>
              </c:strCache>
            </c:strRef>
          </c:tx>
          <c:spPr>
            <a:ln w="28575" cap="rnd">
              <a:solidFill>
                <a:schemeClr val="accent1"/>
              </a:solidFill>
              <a:round/>
            </a:ln>
            <a:effectLst/>
          </c:spPr>
          <c:marker>
            <c:symbol val="none"/>
          </c:marker>
          <c:cat>
            <c:strRef>
              <c:f>'PIVOT 3'!$A$4:$A$13</c:f>
              <c:strCache>
                <c:ptCount val="9"/>
                <c:pt idx="0">
                  <c:v>Education</c:v>
                </c:pt>
                <c:pt idx="1">
                  <c:v>Entertainment</c:v>
                </c:pt>
                <c:pt idx="2">
                  <c:v>Food</c:v>
                </c:pt>
                <c:pt idx="3">
                  <c:v>Income</c:v>
                </c:pt>
                <c:pt idx="4">
                  <c:v>Miscellaneous</c:v>
                </c:pt>
                <c:pt idx="5">
                  <c:v>Rent</c:v>
                </c:pt>
                <c:pt idx="6">
                  <c:v>Shopping</c:v>
                </c:pt>
                <c:pt idx="7">
                  <c:v>Travel</c:v>
                </c:pt>
                <c:pt idx="8">
                  <c:v>Utilities</c:v>
                </c:pt>
              </c:strCache>
            </c:strRef>
          </c:cat>
          <c:val>
            <c:numRef>
              <c:f>'PIVOT 3'!$B$4:$B$13</c:f>
              <c:numCache>
                <c:formatCode>General</c:formatCode>
                <c:ptCount val="9"/>
                <c:pt idx="0">
                  <c:v>34</c:v>
                </c:pt>
                <c:pt idx="1">
                  <c:v>42</c:v>
                </c:pt>
                <c:pt idx="2">
                  <c:v>38</c:v>
                </c:pt>
                <c:pt idx="3">
                  <c:v>56</c:v>
                </c:pt>
                <c:pt idx="4">
                  <c:v>17</c:v>
                </c:pt>
                <c:pt idx="5">
                  <c:v>17</c:v>
                </c:pt>
                <c:pt idx="6">
                  <c:v>10</c:v>
                </c:pt>
                <c:pt idx="7">
                  <c:v>31</c:v>
                </c:pt>
                <c:pt idx="8">
                  <c:v>55</c:v>
                </c:pt>
              </c:numCache>
            </c:numRef>
          </c:val>
          <c:smooth val="0"/>
          <c:extLst>
            <c:ext xmlns:c16="http://schemas.microsoft.com/office/drawing/2014/chart" uri="{C3380CC4-5D6E-409C-BE32-E72D297353CC}">
              <c16:uniqueId val="{00000000-A639-4186-AF7B-30C85EA8A32D}"/>
            </c:ext>
          </c:extLst>
        </c:ser>
        <c:dLbls>
          <c:showLegendKey val="0"/>
          <c:showVal val="0"/>
          <c:showCatName val="0"/>
          <c:showSerName val="0"/>
          <c:showPercent val="0"/>
          <c:showBubbleSize val="0"/>
        </c:dLbls>
        <c:smooth val="0"/>
        <c:axId val="1815830688"/>
        <c:axId val="1737852560"/>
      </c:lineChart>
      <c:catAx>
        <c:axId val="181583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852560"/>
        <c:crosses val="autoZero"/>
        <c:auto val="1"/>
        <c:lblAlgn val="ctr"/>
        <c:lblOffset val="100"/>
        <c:noMultiLvlLbl val="0"/>
      </c:catAx>
      <c:valAx>
        <c:axId val="173785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83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1">
                    <a:lumMod val="95000"/>
                    <a:lumOff val="5000"/>
                  </a:schemeClr>
                </a:solidFill>
              </a:rPr>
              <a:t>EXPENSES</a:t>
            </a:r>
            <a:r>
              <a:rPr lang="en-IN" sz="1800" b="1" baseline="0">
                <a:solidFill>
                  <a:schemeClr val="tx1">
                    <a:lumMod val="95000"/>
                    <a:lumOff val="5000"/>
                  </a:schemeClr>
                </a:solidFill>
              </a:rPr>
              <a:t> BY TYPE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68839341169741"/>
          <c:y val="0.15523030613441438"/>
          <c:w val="0.81690910232645242"/>
          <c:h val="0.72399816088663416"/>
        </c:manualLayout>
      </c:layout>
      <c:barChart>
        <c:barDir val="col"/>
        <c:grouping val="clustered"/>
        <c:varyColors val="0"/>
        <c:ser>
          <c:idx val="0"/>
          <c:order val="0"/>
          <c:tx>
            <c:v>Sum of AMOUNT(Rs)</c:v>
          </c:tx>
          <c:spPr>
            <a:solidFill>
              <a:schemeClr val="accent1"/>
            </a:solidFill>
            <a:ln>
              <a:noFill/>
            </a:ln>
            <a:effectLst/>
          </c:spPr>
          <c:invertIfNegative val="0"/>
          <c:cat>
            <c:strLit>
              <c:ptCount val="2"/>
              <c:pt idx="0">
                <c:v>Expense</c:v>
              </c:pt>
              <c:pt idx="1">
                <c:v>Income</c:v>
              </c:pt>
            </c:strLit>
          </c:cat>
          <c:val>
            <c:numLit>
              <c:formatCode>General</c:formatCode>
              <c:ptCount val="2"/>
              <c:pt idx="0">
                <c:v>168968.17329999999</c:v>
              </c:pt>
              <c:pt idx="1">
                <c:v>91527.787219999998</c:v>
              </c:pt>
            </c:numLit>
          </c:val>
          <c:extLst>
            <c:ext xmlns:c16="http://schemas.microsoft.com/office/drawing/2014/chart" uri="{C3380CC4-5D6E-409C-BE32-E72D297353CC}">
              <c16:uniqueId val="{00000000-90CF-4C09-9FB6-907837AB051C}"/>
            </c:ext>
          </c:extLst>
        </c:ser>
        <c:dLbls>
          <c:showLegendKey val="0"/>
          <c:showVal val="0"/>
          <c:showCatName val="0"/>
          <c:showSerName val="0"/>
          <c:showPercent val="0"/>
          <c:showBubbleSize val="0"/>
        </c:dLbls>
        <c:gapWidth val="219"/>
        <c:overlap val="-27"/>
        <c:axId val="503295711"/>
        <c:axId val="868359535"/>
      </c:barChart>
      <c:catAx>
        <c:axId val="50329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359535"/>
        <c:crosses val="autoZero"/>
        <c:auto val="1"/>
        <c:lblAlgn val="ctr"/>
        <c:lblOffset val="100"/>
        <c:noMultiLvlLbl val="0"/>
      </c:catAx>
      <c:valAx>
        <c:axId val="86835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2957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one.xlsx]PIVOT 2!PivotTable2</c:name>
    <c:fmtId val="16"/>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pivotFmt>
      <c:pivotFmt>
        <c:idx val="32"/>
        <c:spPr>
          <a:solidFill>
            <a:srgbClr val="00B050"/>
          </a:solidFill>
          <a:ln>
            <a:noFill/>
          </a:ln>
          <a:effectLst/>
          <a:scene3d>
            <a:camera prst="orthographicFront"/>
            <a:lightRig rig="brightRoom" dir="t"/>
          </a:scene3d>
          <a:sp3d prstMaterial="flat">
            <a:bevelT w="50800" h="101600" prst="angle"/>
            <a:contourClr>
              <a:srgbClr val="000000"/>
            </a:contourClr>
          </a:sp3d>
        </c:spPr>
      </c:pivotFmt>
      <c:pivotFmt>
        <c:idx val="33"/>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34"/>
        <c:spPr>
          <a:solidFill>
            <a:srgbClr val="7030A0"/>
          </a:solidFill>
          <a:ln>
            <a:noFill/>
          </a:ln>
          <a:effectLst/>
          <a:scene3d>
            <a:camera prst="orthographicFront"/>
            <a:lightRig rig="brightRoom" dir="t"/>
          </a:scene3d>
          <a:sp3d prstMaterial="flat">
            <a:bevelT w="50800" h="101600" prst="angle"/>
            <a:contourClr>
              <a:srgbClr val="000000"/>
            </a:contourClr>
          </a:sp3d>
        </c:spPr>
      </c:pivotFmt>
      <c:pivotFmt>
        <c:idx val="35"/>
        <c:spPr>
          <a:solidFill>
            <a:srgbClr val="FBCB7D"/>
          </a:solidFill>
          <a:ln>
            <a:noFill/>
          </a:ln>
          <a:effectLst/>
          <a:scene3d>
            <a:camera prst="orthographicFront"/>
            <a:lightRig rig="brightRoom" dir="t"/>
          </a:scene3d>
          <a:sp3d prstMaterial="flat">
            <a:bevelT w="50800" h="101600" prst="angle"/>
            <a:contourClr>
              <a:srgbClr val="000000"/>
            </a:contourClr>
          </a:sp3d>
        </c:spPr>
      </c:pivotFmt>
      <c:pivotFmt>
        <c:idx val="36"/>
        <c:spPr>
          <a:solidFill>
            <a:srgbClr val="BC08A2"/>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9374368797109565"/>
          <c:y val="0.12679417481605817"/>
          <c:w val="0.60565395769837993"/>
          <c:h val="0.87041141545222434"/>
        </c:manualLayout>
      </c:layout>
      <c:doughnutChart>
        <c:varyColors val="1"/>
        <c:ser>
          <c:idx val="0"/>
          <c:order val="0"/>
          <c:tx>
            <c:strRef>
              <c:f>'PIVOT 2'!$B$3</c:f>
              <c:strCache>
                <c:ptCount val="1"/>
                <c:pt idx="0">
                  <c:v>Total</c:v>
                </c:pt>
              </c:strCache>
            </c:strRef>
          </c:tx>
          <c:dPt>
            <c:idx val="0"/>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DDD-45D8-B602-5A3742A3D295}"/>
              </c:ext>
            </c:extLst>
          </c:dPt>
          <c:dPt>
            <c:idx val="1"/>
            <c:bubble3D val="0"/>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DDD-45D8-B602-5A3742A3D295}"/>
              </c:ext>
            </c:extLst>
          </c:dPt>
          <c:dPt>
            <c:idx val="2"/>
            <c:bubble3D val="0"/>
            <c:spPr>
              <a:solidFill>
                <a:srgbClr val="00B05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DDD-45D8-B602-5A3742A3D29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DDD-45D8-B602-5A3742A3D295}"/>
              </c:ext>
            </c:extLst>
          </c:dPt>
          <c:dPt>
            <c:idx val="4"/>
            <c:bubble3D val="0"/>
            <c:spPr>
              <a:solidFill>
                <a:srgbClr val="FF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EDDD-45D8-B602-5A3742A3D295}"/>
              </c:ext>
            </c:extLst>
          </c:dPt>
          <c:dPt>
            <c:idx val="5"/>
            <c:bubble3D val="0"/>
            <c:spPr>
              <a:solidFill>
                <a:srgbClr val="7030A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EDDD-45D8-B602-5A3742A3D295}"/>
              </c:ext>
            </c:extLst>
          </c:dPt>
          <c:dPt>
            <c:idx val="6"/>
            <c:bubble3D val="0"/>
            <c:spPr>
              <a:solidFill>
                <a:srgbClr val="FBCB7D"/>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EDDD-45D8-B602-5A3742A3D295}"/>
              </c:ext>
            </c:extLst>
          </c:dPt>
          <c:dPt>
            <c:idx val="7"/>
            <c:bubble3D val="0"/>
            <c:spPr>
              <a:solidFill>
                <a:srgbClr val="BC08A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EDDD-45D8-B602-5A3742A3D295}"/>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38FD-4AB7-87F4-499DEBEE7D01}"/>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2'!$A$4:$A$13</c:f>
              <c:strCache>
                <c:ptCount val="9"/>
                <c:pt idx="0">
                  <c:v>Education</c:v>
                </c:pt>
                <c:pt idx="1">
                  <c:v>Entertainment</c:v>
                </c:pt>
                <c:pt idx="2">
                  <c:v>Food</c:v>
                </c:pt>
                <c:pt idx="3">
                  <c:v>Income</c:v>
                </c:pt>
                <c:pt idx="4">
                  <c:v>Miscellaneous</c:v>
                </c:pt>
                <c:pt idx="5">
                  <c:v>Rent</c:v>
                </c:pt>
                <c:pt idx="6">
                  <c:v>Shopping</c:v>
                </c:pt>
                <c:pt idx="7">
                  <c:v>Travel</c:v>
                </c:pt>
                <c:pt idx="8">
                  <c:v>Utilities</c:v>
                </c:pt>
              </c:strCache>
            </c:strRef>
          </c:cat>
          <c:val>
            <c:numRef>
              <c:f>'PIVOT 2'!$B$4:$B$13</c:f>
              <c:numCache>
                <c:formatCode>0.0</c:formatCode>
                <c:ptCount val="9"/>
                <c:pt idx="0">
                  <c:v>23705.945358608631</c:v>
                </c:pt>
                <c:pt idx="1">
                  <c:v>24349.333085792518</c:v>
                </c:pt>
                <c:pt idx="2">
                  <c:v>27618.556732460504</c:v>
                </c:pt>
                <c:pt idx="3">
                  <c:v>91527.787219073754</c:v>
                </c:pt>
                <c:pt idx="4">
                  <c:v>9155.8261872190851</c:v>
                </c:pt>
                <c:pt idx="5">
                  <c:v>26289.656282978336</c:v>
                </c:pt>
                <c:pt idx="6">
                  <c:v>7395.880867695937</c:v>
                </c:pt>
                <c:pt idx="7">
                  <c:v>17944.598221614287</c:v>
                </c:pt>
                <c:pt idx="8">
                  <c:v>32508.376568301817</c:v>
                </c:pt>
              </c:numCache>
            </c:numRef>
          </c:val>
          <c:extLst>
            <c:ext xmlns:c16="http://schemas.microsoft.com/office/drawing/2014/chart" uri="{C3380CC4-5D6E-409C-BE32-E72D297353CC}">
              <c16:uniqueId val="{00000010-EDDD-45D8-B602-5A3742A3D29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24683925996468"/>
          <c:y val="0.22233758156398467"/>
          <c:w val="0.16159838124024506"/>
          <c:h val="0.636610311917804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one.xlsx]PIVOT 1!PivotTable1</c:name>
    <c:fmtId val="3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a:outerShdw blurRad="57150" dist="19050" dir="5400000" algn="ctr" rotWithShape="0">
              <a:srgbClr val="000000">
                <a:alpha val="63000"/>
              </a:srgbClr>
            </a:outerShdw>
          </a:effectLst>
        </c:spPr>
        <c:dLbl>
          <c:idx val="0"/>
          <c:layout>
            <c:manualLayout>
              <c:x val="-2.5549577987254435E-2"/>
              <c:y val="-2.5087262189545131E-3"/>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a:outerShdw blurRad="57150" dist="19050" dir="5400000" algn="ctr" rotWithShape="0">
              <a:srgbClr val="000000">
                <a:alpha val="63000"/>
              </a:srgbClr>
            </a:outerShdw>
          </a:effectLst>
        </c:spPr>
        <c:dLbl>
          <c:idx val="0"/>
          <c:layout>
            <c:manualLayout>
              <c:x val="1.3447146309081282E-2"/>
              <c:y val="-2.5087262189546051E-3"/>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a:outerShdw blurRad="57150" dist="19050" dir="5400000" algn="ctr" rotWithShape="0">
              <a:srgbClr val="000000">
                <a:alpha val="63000"/>
              </a:srgbClr>
            </a:outerShdw>
          </a:effectLst>
        </c:spPr>
        <c:dLbl>
          <c:idx val="0"/>
          <c:layout>
            <c:manualLayout>
              <c:x val="1.2102431678173153E-2"/>
              <c:y val="-9.1985565403231171E-17"/>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272235508479663E-2"/>
          <c:y val="0.18096667275355546"/>
          <c:w val="0.86634854987617582"/>
          <c:h val="0.68434958872694596"/>
        </c:manualLayout>
      </c:layout>
      <c:barChart>
        <c:barDir val="col"/>
        <c:grouping val="clustered"/>
        <c:varyColors val="0"/>
        <c:ser>
          <c:idx val="0"/>
          <c:order val="0"/>
          <c:tx>
            <c:strRef>
              <c:f>'PIVOT 1'!$B$3:$B$4</c:f>
              <c:strCache>
                <c:ptCount val="1"/>
                <c:pt idx="0">
                  <c:v>Expense</c:v>
                </c:pt>
              </c:strCache>
            </c:strRef>
          </c:tx>
          <c:spPr>
            <a:solidFill>
              <a:srgbClr val="002060"/>
            </a:solidFill>
            <a:ln>
              <a:noFill/>
            </a:ln>
            <a:effectLst>
              <a:outerShdw blurRad="57150" dist="19050" dir="5400000" algn="ctr" rotWithShape="0">
                <a:srgbClr val="000000">
                  <a:alpha val="63000"/>
                </a:srgbClr>
              </a:outerShdw>
            </a:effectLst>
          </c:spPr>
          <c:invertIfNegative val="0"/>
          <c:dPt>
            <c:idx val="1"/>
            <c:invertIfNegative val="0"/>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002D-4005-8F94-61E617B54C1F}"/>
              </c:ext>
            </c:extLst>
          </c:dPt>
          <c:dLbls>
            <c:dLbl>
              <c:idx val="1"/>
              <c:layout>
                <c:manualLayout>
                  <c:x val="-2.5549577987254435E-2"/>
                  <c:y val="-2.50872621895451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02D-4005-8F94-61E617B54C1F}"/>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1'!$A$5:$A$11</c:f>
              <c:strCache>
                <c:ptCount val="6"/>
                <c:pt idx="0">
                  <c:v>Apr-2026</c:v>
                </c:pt>
                <c:pt idx="1">
                  <c:v>Aug-2026</c:v>
                </c:pt>
                <c:pt idx="2">
                  <c:v>Jul-2026</c:v>
                </c:pt>
                <c:pt idx="3">
                  <c:v>Jun-2026</c:v>
                </c:pt>
                <c:pt idx="4">
                  <c:v>May-2026</c:v>
                </c:pt>
                <c:pt idx="5">
                  <c:v>Sep-2026</c:v>
                </c:pt>
              </c:strCache>
            </c:strRef>
          </c:cat>
          <c:val>
            <c:numRef>
              <c:f>'PIVOT 1'!$B$5:$B$11</c:f>
              <c:numCache>
                <c:formatCode>"₹"\ #,##0.0</c:formatCode>
                <c:ptCount val="6"/>
                <c:pt idx="0">
                  <c:v>38789.420793433717</c:v>
                </c:pt>
                <c:pt idx="1">
                  <c:v>22099.60615595082</c:v>
                </c:pt>
                <c:pt idx="2">
                  <c:v>27926.896247801538</c:v>
                </c:pt>
                <c:pt idx="3">
                  <c:v>28758.647606019244</c:v>
                </c:pt>
                <c:pt idx="4">
                  <c:v>32490.291029900403</c:v>
                </c:pt>
                <c:pt idx="5">
                  <c:v>18903.31147156539</c:v>
                </c:pt>
              </c:numCache>
            </c:numRef>
          </c:val>
          <c:extLst>
            <c:ext xmlns:c16="http://schemas.microsoft.com/office/drawing/2014/chart" uri="{C3380CC4-5D6E-409C-BE32-E72D297353CC}">
              <c16:uniqueId val="{00000000-002D-4005-8F94-61E617B54C1F}"/>
            </c:ext>
          </c:extLst>
        </c:ser>
        <c:ser>
          <c:idx val="1"/>
          <c:order val="1"/>
          <c:tx>
            <c:strRef>
              <c:f>'PIVOT 1'!$C$3:$C$4</c:f>
              <c:strCache>
                <c:ptCount val="1"/>
                <c:pt idx="0">
                  <c:v>Income</c:v>
                </c:pt>
              </c:strCache>
            </c:strRef>
          </c:tx>
          <c:spPr>
            <a:solidFill>
              <a:srgbClr val="00B050"/>
            </a:solidFill>
            <a:ln>
              <a:noFill/>
            </a:ln>
            <a:effectLst>
              <a:outerShdw blurRad="57150" dist="19050" dir="5400000" algn="ctr" rotWithShape="0">
                <a:srgbClr val="000000">
                  <a:alpha val="63000"/>
                </a:srgbClr>
              </a:outerShdw>
            </a:effectLst>
          </c:spPr>
          <c:invertIfNegative val="0"/>
          <c:dPt>
            <c:idx val="1"/>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48A-45A1-938D-6922838DF994}"/>
              </c:ext>
            </c:extLst>
          </c:dPt>
          <c:dPt>
            <c:idx val="2"/>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48A-45A1-938D-6922838DF994}"/>
              </c:ext>
            </c:extLst>
          </c:dPt>
          <c:dLbls>
            <c:dLbl>
              <c:idx val="1"/>
              <c:layout>
                <c:manualLayout>
                  <c:x val="1.3447146309081282E-2"/>
                  <c:y val="-2.508726218954605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8A-45A1-938D-6922838DF994}"/>
                </c:ext>
              </c:extLst>
            </c:dLbl>
            <c:dLbl>
              <c:idx val="2"/>
              <c:layout>
                <c:manualLayout>
                  <c:x val="1.2102431678173153E-2"/>
                  <c:y val="-9.1985565403231171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8A-45A1-938D-6922838DF994}"/>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1'!$A$5:$A$11</c:f>
              <c:strCache>
                <c:ptCount val="6"/>
                <c:pt idx="0">
                  <c:v>Apr-2026</c:v>
                </c:pt>
                <c:pt idx="1">
                  <c:v>Aug-2026</c:v>
                </c:pt>
                <c:pt idx="2">
                  <c:v>Jul-2026</c:v>
                </c:pt>
                <c:pt idx="3">
                  <c:v>Jun-2026</c:v>
                </c:pt>
                <c:pt idx="4">
                  <c:v>May-2026</c:v>
                </c:pt>
                <c:pt idx="5">
                  <c:v>Sep-2026</c:v>
                </c:pt>
              </c:strCache>
            </c:strRef>
          </c:cat>
          <c:val>
            <c:numRef>
              <c:f>'PIVOT 1'!$C$5:$C$11</c:f>
              <c:numCache>
                <c:formatCode>"₹"\ #,##0.0</c:formatCode>
                <c:ptCount val="6"/>
                <c:pt idx="0">
                  <c:v>13061.019015047885</c:v>
                </c:pt>
                <c:pt idx="1">
                  <c:v>20422.343834277905</c:v>
                </c:pt>
                <c:pt idx="2">
                  <c:v>20412.690482704718</c:v>
                </c:pt>
                <c:pt idx="3">
                  <c:v>17111.633320304878</c:v>
                </c:pt>
                <c:pt idx="4">
                  <c:v>13306.454582763343</c:v>
                </c:pt>
                <c:pt idx="5">
                  <c:v>7213.6459839749887</c:v>
                </c:pt>
              </c:numCache>
            </c:numRef>
          </c:val>
          <c:extLst>
            <c:ext xmlns:c16="http://schemas.microsoft.com/office/drawing/2014/chart" uri="{C3380CC4-5D6E-409C-BE32-E72D297353CC}">
              <c16:uniqueId val="{00000008-51A7-4EF2-BF39-44118B025A22}"/>
            </c:ext>
          </c:extLst>
        </c:ser>
        <c:dLbls>
          <c:showLegendKey val="0"/>
          <c:showVal val="0"/>
          <c:showCatName val="0"/>
          <c:showSerName val="0"/>
          <c:showPercent val="0"/>
          <c:showBubbleSize val="0"/>
        </c:dLbls>
        <c:gapWidth val="100"/>
        <c:overlap val="-24"/>
        <c:axId val="1838303216"/>
        <c:axId val="1758349744"/>
      </c:barChart>
      <c:catAx>
        <c:axId val="18383032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349744"/>
        <c:crosses val="autoZero"/>
        <c:auto val="1"/>
        <c:lblAlgn val="ctr"/>
        <c:lblOffset val="100"/>
        <c:noMultiLvlLbl val="0"/>
      </c:catAx>
      <c:valAx>
        <c:axId val="1758349744"/>
        <c:scaling>
          <c:orientation val="minMax"/>
        </c:scaling>
        <c:delete val="0"/>
        <c:axPos val="l"/>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30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r>
              <a:rPr lang="en-IN" sz="2400" b="1">
                <a:solidFill>
                  <a:schemeClr val="tx1">
                    <a:lumMod val="95000"/>
                    <a:lumOff val="5000"/>
                  </a:schemeClr>
                </a:solidFill>
                <a:latin typeface="Times New Roman" panose="02020603050405020304" pitchFamily="18" charset="0"/>
                <a:cs typeface="Times New Roman" panose="02020603050405020304" pitchFamily="18" charset="0"/>
              </a:rPr>
              <a:t>EXPENSES BY TYPE</a:t>
            </a:r>
          </a:p>
          <a:p>
            <a:pPr>
              <a:defRPr sz="2400" b="1">
                <a:solidFill>
                  <a:schemeClr val="tx1">
                    <a:lumMod val="95000"/>
                    <a:lumOff val="5000"/>
                  </a:schemeClr>
                </a:solidFill>
                <a:latin typeface="Times New Roman" panose="02020603050405020304" pitchFamily="18" charset="0"/>
                <a:cs typeface="Times New Roman" panose="02020603050405020304" pitchFamily="18" charset="0"/>
              </a:defRPr>
            </a:pPr>
            <a:endParaRPr lang="en-IN" sz="2400" b="1">
              <a:solidFill>
                <a:schemeClr val="tx1">
                  <a:lumMod val="95000"/>
                  <a:lumOff val="5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0.11983694481082356"/>
          <c:y val="0.15908310397887512"/>
          <c:w val="0.81690910232645242"/>
          <c:h val="0.72399816088663416"/>
        </c:manualLayout>
      </c:layout>
      <c:barChart>
        <c:barDir val="col"/>
        <c:grouping val="clustered"/>
        <c:varyColors val="0"/>
        <c:ser>
          <c:idx val="0"/>
          <c:order val="0"/>
          <c:tx>
            <c:v>Sum of AMOUNT(Rs)</c:v>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Lit>
              <c:ptCount val="2"/>
              <c:pt idx="0">
                <c:v>Expense</c:v>
              </c:pt>
              <c:pt idx="1">
                <c:v>Income</c:v>
              </c:pt>
            </c:strLit>
          </c:cat>
          <c:val>
            <c:numLit>
              <c:formatCode>General</c:formatCode>
              <c:ptCount val="2"/>
              <c:pt idx="0">
                <c:v>168968.17329999999</c:v>
              </c:pt>
              <c:pt idx="1">
                <c:v>91527.787219999998</c:v>
              </c:pt>
            </c:numLit>
          </c:val>
          <c:extLst>
            <c:ext xmlns:c16="http://schemas.microsoft.com/office/drawing/2014/chart" uri="{C3380CC4-5D6E-409C-BE32-E72D297353CC}">
              <c16:uniqueId val="{00000000-D845-4C50-ABCB-877F216E1F43}"/>
            </c:ext>
          </c:extLst>
        </c:ser>
        <c:dLbls>
          <c:dLblPos val="outEnd"/>
          <c:showLegendKey val="0"/>
          <c:showVal val="1"/>
          <c:showCatName val="0"/>
          <c:showSerName val="0"/>
          <c:showPercent val="0"/>
          <c:showBubbleSize val="0"/>
        </c:dLbls>
        <c:gapWidth val="219"/>
        <c:overlap val="-27"/>
        <c:axId val="503295711"/>
        <c:axId val="868359535"/>
      </c:barChart>
      <c:catAx>
        <c:axId val="50329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chemeClr val="tx1">
                    <a:lumMod val="95000"/>
                    <a:lumOff val="5000"/>
                  </a:schemeClr>
                </a:solidFill>
                <a:latin typeface="+mn-lt"/>
                <a:ea typeface="+mn-ea"/>
                <a:cs typeface="+mn-cs"/>
              </a:defRPr>
            </a:pPr>
            <a:endParaRPr lang="en-US"/>
          </a:p>
        </c:txPr>
        <c:crossAx val="868359535"/>
        <c:crosses val="autoZero"/>
        <c:auto val="1"/>
        <c:lblAlgn val="ctr"/>
        <c:lblOffset val="100"/>
        <c:noMultiLvlLbl val="0"/>
      </c:catAx>
      <c:valAx>
        <c:axId val="868359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032957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[task one.xlsx]PIVOT 3!PivotTable1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9838256279284967E-2"/>
              <c:y val="-1.98264328500575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2136819514981607E-3"/>
              <c:y val="-9.913216425028764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2968358440616218E-2"/>
              <c:y val="-5.70009944439154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3808494655724356E-2"/>
              <c:y val="-2.726134516882909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12</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8.0835797901669948E-3"/>
              <c:y val="-6.19576026564298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3671096698950979E-2"/>
              <c:y val="-2.271752520590117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5.7936138439440496E-3"/>
              <c:y val="6.69142108689440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609846060194732E-2"/>
              <c:y val="-6.4435906762686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4953477628835829E-2"/>
              <c:y val="5.7000994443915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3'!$B$3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Pt>
            <c:idx val="0"/>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8-FF8C-4093-B887-2EFA374891A1}"/>
              </c:ext>
            </c:extLst>
          </c:dPt>
          <c:dPt>
            <c:idx val="1"/>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7-FF8C-4093-B887-2EFA374891A1}"/>
              </c:ext>
            </c:extLst>
          </c:dPt>
          <c:dPt>
            <c:idx val="2"/>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6-FF8C-4093-B887-2EFA374891A1}"/>
              </c:ext>
            </c:extLst>
          </c:dPt>
          <c:dPt>
            <c:idx val="3"/>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5-FF8C-4093-B887-2EFA374891A1}"/>
              </c:ext>
            </c:extLst>
          </c:dPt>
          <c:dPt>
            <c:idx val="4"/>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4-FF8C-4093-B887-2EFA374891A1}"/>
              </c:ext>
            </c:extLst>
          </c:dPt>
          <c:dPt>
            <c:idx val="5"/>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3-FF8C-4093-B887-2EFA374891A1}"/>
              </c:ext>
            </c:extLst>
          </c:dPt>
          <c:dPt>
            <c:idx val="6"/>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2-FF8C-4093-B887-2EFA374891A1}"/>
              </c:ext>
            </c:extLst>
          </c:dPt>
          <c:dPt>
            <c:idx val="7"/>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0-FF8C-4093-B887-2EFA374891A1}"/>
              </c:ext>
            </c:extLst>
          </c:dPt>
          <c:dPt>
            <c:idx val="8"/>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1-FF8C-4093-B887-2EFA374891A1}"/>
              </c:ext>
            </c:extLst>
          </c:dPt>
          <c:dLbls>
            <c:dLbl>
              <c:idx val="0"/>
              <c:layout>
                <c:manualLayout>
                  <c:x val="-1.4953477628835829E-2"/>
                  <c:y val="5.7000994443915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F8C-4093-B887-2EFA374891A1}"/>
                </c:ext>
              </c:extLst>
            </c:dLbl>
            <c:dLbl>
              <c:idx val="1"/>
              <c:layout>
                <c:manualLayout>
                  <c:x val="-1.609846060194732E-2"/>
                  <c:y val="-6.4435906762686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F8C-4093-B887-2EFA374891A1}"/>
                </c:ext>
              </c:extLst>
            </c:dLbl>
            <c:dLbl>
              <c:idx val="2"/>
              <c:layout>
                <c:manualLayout>
                  <c:x val="-5.7936138439440496E-3"/>
                  <c:y val="6.69142108689440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F8C-4093-B887-2EFA374891A1}"/>
                </c:ext>
              </c:extLst>
            </c:dLbl>
            <c:dLbl>
              <c:idx val="3"/>
              <c:layout>
                <c:manualLayout>
                  <c:x val="1.3671096698950979E-2"/>
                  <c:y val="-2.2717525205901178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F8C-4093-B887-2EFA374891A1}"/>
                </c:ext>
              </c:extLst>
            </c:dLbl>
            <c:dLbl>
              <c:idx val="4"/>
              <c:layout>
                <c:manualLayout>
                  <c:x val="-8.0835797901669948E-3"/>
                  <c:y val="-6.19576026564298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F8C-4093-B887-2EFA374891A1}"/>
                </c:ext>
              </c:extLst>
            </c:dLbl>
            <c:dLbl>
              <c:idx val="5"/>
              <c:layout>
                <c:manualLayout>
                  <c:x val="-1.3808494655724356E-2"/>
                  <c:y val="-2.7261345168829099E-2"/>
                </c:manualLayout>
              </c:layout>
              <c:tx>
                <c:rich>
                  <a:bodyPr/>
                  <a:lstStyle/>
                  <a:p>
                    <a:r>
                      <a:rPr lang="en-US"/>
                      <a:t>12</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F8C-4093-B887-2EFA374891A1}"/>
                </c:ext>
              </c:extLst>
            </c:dLbl>
            <c:dLbl>
              <c:idx val="6"/>
              <c:layout>
                <c:manualLayout>
                  <c:x val="-2.2968358440616218E-2"/>
                  <c:y val="-5.70009944439154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F8C-4093-B887-2EFA374891A1}"/>
                </c:ext>
              </c:extLst>
            </c:dLbl>
            <c:dLbl>
              <c:idx val="7"/>
              <c:layout>
                <c:manualLayout>
                  <c:x val="-2.9838256279284967E-2"/>
                  <c:y val="-1.98264328500575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F8C-4093-B887-2EFA374891A1}"/>
                </c:ext>
              </c:extLst>
            </c:dLbl>
            <c:dLbl>
              <c:idx val="8"/>
              <c:layout>
                <c:manualLayout>
                  <c:x val="-1.2136819514981607E-3"/>
                  <c:y val="-9.913216425028764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8C-4093-B887-2EFA374891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3'!$A$4:$A$13</c:f>
              <c:strCache>
                <c:ptCount val="9"/>
                <c:pt idx="0">
                  <c:v>Education</c:v>
                </c:pt>
                <c:pt idx="1">
                  <c:v>Entertainment</c:v>
                </c:pt>
                <c:pt idx="2">
                  <c:v>Food</c:v>
                </c:pt>
                <c:pt idx="3">
                  <c:v>Income</c:v>
                </c:pt>
                <c:pt idx="4">
                  <c:v>Miscellaneous</c:v>
                </c:pt>
                <c:pt idx="5">
                  <c:v>Rent</c:v>
                </c:pt>
                <c:pt idx="6">
                  <c:v>Shopping</c:v>
                </c:pt>
                <c:pt idx="7">
                  <c:v>Travel</c:v>
                </c:pt>
                <c:pt idx="8">
                  <c:v>Utilities</c:v>
                </c:pt>
              </c:strCache>
            </c:strRef>
          </c:cat>
          <c:val>
            <c:numRef>
              <c:f>'PIVOT 3'!$B$4:$B$13</c:f>
              <c:numCache>
                <c:formatCode>General</c:formatCode>
                <c:ptCount val="9"/>
                <c:pt idx="0">
                  <c:v>34</c:v>
                </c:pt>
                <c:pt idx="1">
                  <c:v>42</c:v>
                </c:pt>
                <c:pt idx="2">
                  <c:v>38</c:v>
                </c:pt>
                <c:pt idx="3">
                  <c:v>56</c:v>
                </c:pt>
                <c:pt idx="4">
                  <c:v>17</c:v>
                </c:pt>
                <c:pt idx="5">
                  <c:v>17</c:v>
                </c:pt>
                <c:pt idx="6">
                  <c:v>10</c:v>
                </c:pt>
                <c:pt idx="7">
                  <c:v>31</c:v>
                </c:pt>
                <c:pt idx="8">
                  <c:v>55</c:v>
                </c:pt>
              </c:numCache>
            </c:numRef>
          </c:val>
          <c:smooth val="0"/>
          <c:extLst>
            <c:ext xmlns:c16="http://schemas.microsoft.com/office/drawing/2014/chart" uri="{C3380CC4-5D6E-409C-BE32-E72D297353CC}">
              <c16:uniqueId val="{00000000-29D3-48E9-A2A9-77567EB7E5C7}"/>
            </c:ext>
          </c:extLst>
        </c:ser>
        <c:dLbls>
          <c:dLblPos val="ctr"/>
          <c:showLegendKey val="0"/>
          <c:showVal val="1"/>
          <c:showCatName val="0"/>
          <c:showSerName val="0"/>
          <c:showPercent val="0"/>
          <c:showBubbleSize val="0"/>
        </c:dLbls>
        <c:marker val="1"/>
        <c:smooth val="0"/>
        <c:axId val="1815830688"/>
        <c:axId val="1737852560"/>
      </c:lineChart>
      <c:catAx>
        <c:axId val="181583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37852560"/>
        <c:crosses val="autoZero"/>
        <c:auto val="1"/>
        <c:lblAlgn val="ctr"/>
        <c:lblOffset val="100"/>
        <c:noMultiLvlLbl val="0"/>
      </c:catAx>
      <c:valAx>
        <c:axId val="1737852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81583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256302</xdr:colOff>
      <xdr:row>2</xdr:row>
      <xdr:rowOff>100484</xdr:rowOff>
    </xdr:from>
    <xdr:to>
      <xdr:col>13</xdr:col>
      <xdr:colOff>556614</xdr:colOff>
      <xdr:row>18</xdr:row>
      <xdr:rowOff>42127</xdr:rowOff>
    </xdr:to>
    <xdr:graphicFrame macro="">
      <xdr:nvGraphicFramePr>
        <xdr:cNvPr id="2" name="Chart 1">
          <a:extLst>
            <a:ext uri="{FF2B5EF4-FFF2-40B4-BE49-F238E27FC236}">
              <a16:creationId xmlns:a16="http://schemas.microsoft.com/office/drawing/2014/main" id="{93F42168-2247-73EA-6AD0-7FBD8D9C5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66000</xdr:colOff>
      <xdr:row>10</xdr:row>
      <xdr:rowOff>72000</xdr:rowOff>
    </xdr:from>
    <xdr:to>
      <xdr:col>8</xdr:col>
      <xdr:colOff>390000</xdr:colOff>
      <xdr:row>28</xdr:row>
      <xdr:rowOff>168000</xdr:rowOff>
    </xdr:to>
    <xdr:graphicFrame macro="">
      <xdr:nvGraphicFramePr>
        <xdr:cNvPr id="2" name="Chart 1">
          <a:extLst>
            <a:ext uri="{FF2B5EF4-FFF2-40B4-BE49-F238E27FC236}">
              <a16:creationId xmlns:a16="http://schemas.microsoft.com/office/drawing/2014/main" id="{306910CD-AE74-CA76-6E2E-7BC8676214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7579</xdr:rowOff>
    </xdr:from>
    <xdr:to>
      <xdr:col>3</xdr:col>
      <xdr:colOff>480257</xdr:colOff>
      <xdr:row>30</xdr:row>
      <xdr:rowOff>84000</xdr:rowOff>
    </xdr:to>
    <xdr:graphicFrame macro="">
      <xdr:nvGraphicFramePr>
        <xdr:cNvPr id="3" name="Chart 1">
          <a:extLst>
            <a:ext uri="{FF2B5EF4-FFF2-40B4-BE49-F238E27FC236}">
              <a16:creationId xmlns:a16="http://schemas.microsoft.com/office/drawing/2014/main" id="{F2498F73-5EC2-AECA-978A-B5476CC705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159900</xdr:colOff>
      <xdr:row>2</xdr:row>
      <xdr:rowOff>158444</xdr:rowOff>
    </xdr:from>
    <xdr:to>
      <xdr:col>13</xdr:col>
      <xdr:colOff>89358</xdr:colOff>
      <xdr:row>21</xdr:row>
      <xdr:rowOff>38444</xdr:rowOff>
    </xdr:to>
    <xdr:graphicFrame macro="">
      <xdr:nvGraphicFramePr>
        <xdr:cNvPr id="2" name="Chart 1">
          <a:extLst>
            <a:ext uri="{FF2B5EF4-FFF2-40B4-BE49-F238E27FC236}">
              <a16:creationId xmlns:a16="http://schemas.microsoft.com/office/drawing/2014/main" id="{47A36F18-C59D-27B3-E9F4-3A25E66625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60106</xdr:colOff>
      <xdr:row>8</xdr:row>
      <xdr:rowOff>58579</xdr:rowOff>
    </xdr:from>
    <xdr:to>
      <xdr:col>10</xdr:col>
      <xdr:colOff>446950</xdr:colOff>
      <xdr:row>19</xdr:row>
      <xdr:rowOff>148289</xdr:rowOff>
    </xdr:to>
    <xdr:graphicFrame macro="">
      <xdr:nvGraphicFramePr>
        <xdr:cNvPr id="2" name="Chart 1">
          <a:extLst>
            <a:ext uri="{FF2B5EF4-FFF2-40B4-BE49-F238E27FC236}">
              <a16:creationId xmlns:a16="http://schemas.microsoft.com/office/drawing/2014/main" id="{FB6338A4-1375-482C-804C-181677C39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213261</xdr:colOff>
      <xdr:row>8</xdr:row>
      <xdr:rowOff>148683</xdr:rowOff>
    </xdr:from>
    <xdr:to>
      <xdr:col>40</xdr:col>
      <xdr:colOff>333375</xdr:colOff>
      <xdr:row>20</xdr:row>
      <xdr:rowOff>64851</xdr:rowOff>
    </xdr:to>
    <xdr:graphicFrame macro="">
      <xdr:nvGraphicFramePr>
        <xdr:cNvPr id="3" name="Chart 1">
          <a:extLst>
            <a:ext uri="{FF2B5EF4-FFF2-40B4-BE49-F238E27FC236}">
              <a16:creationId xmlns:a16="http://schemas.microsoft.com/office/drawing/2014/main" id="{4D934722-2205-40F4-9F83-E1F661D29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76200</xdr:colOff>
      <xdr:row>1</xdr:row>
      <xdr:rowOff>71770</xdr:rowOff>
    </xdr:from>
    <xdr:to>
      <xdr:col>41</xdr:col>
      <xdr:colOff>337370</xdr:colOff>
      <xdr:row>3</xdr:row>
      <xdr:rowOff>28388</xdr:rowOff>
    </xdr:to>
    <xdr:pic>
      <xdr:nvPicPr>
        <xdr:cNvPr id="4" name="Picture 3">
          <a:extLst>
            <a:ext uri="{FF2B5EF4-FFF2-40B4-BE49-F238E27FC236}">
              <a16:creationId xmlns:a16="http://schemas.microsoft.com/office/drawing/2014/main" id="{6BB72DAA-5D89-F980-471E-199A68A0A0DC}"/>
            </a:ext>
          </a:extLst>
        </xdr:cNvPr>
        <xdr:cNvPicPr>
          <a:picLocks noChangeAspect="1"/>
        </xdr:cNvPicPr>
      </xdr:nvPicPr>
      <xdr:blipFill>
        <a:blip xmlns:r="http://schemas.openxmlformats.org/officeDocument/2006/relationships" r:embed="rId3"/>
        <a:stretch>
          <a:fillRect/>
        </a:stretch>
      </xdr:blipFill>
      <xdr:spPr>
        <a:xfrm>
          <a:off x="76200" y="1310020"/>
          <a:ext cx="29108400" cy="2776018"/>
        </a:xfrm>
        <a:prstGeom prst="rect">
          <a:avLst/>
        </a:prstGeom>
      </xdr:spPr>
    </xdr:pic>
    <xdr:clientData/>
  </xdr:twoCellAnchor>
  <xdr:twoCellAnchor>
    <xdr:from>
      <xdr:col>16</xdr:col>
      <xdr:colOff>508000</xdr:colOff>
      <xdr:row>26</xdr:row>
      <xdr:rowOff>115455</xdr:rowOff>
    </xdr:from>
    <xdr:to>
      <xdr:col>29</xdr:col>
      <xdr:colOff>263769</xdr:colOff>
      <xdr:row>55</xdr:row>
      <xdr:rowOff>161635</xdr:rowOff>
    </xdr:to>
    <xdr:graphicFrame macro="">
      <xdr:nvGraphicFramePr>
        <xdr:cNvPr id="5" name="Chart 1">
          <a:extLst>
            <a:ext uri="{FF2B5EF4-FFF2-40B4-BE49-F238E27FC236}">
              <a16:creationId xmlns:a16="http://schemas.microsoft.com/office/drawing/2014/main" id="{9F7435B7-DD0A-4840-8FAD-3311D4FF3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556846</xdr:colOff>
      <xdr:row>27</xdr:row>
      <xdr:rowOff>29307</xdr:rowOff>
    </xdr:from>
    <xdr:to>
      <xdr:col>13</xdr:col>
      <xdr:colOff>1992923</xdr:colOff>
      <xdr:row>55</xdr:row>
      <xdr:rowOff>58615</xdr:rowOff>
    </xdr:to>
    <xdr:graphicFrame macro="">
      <xdr:nvGraphicFramePr>
        <xdr:cNvPr id="6" name="Chart 1">
          <a:extLst>
            <a:ext uri="{FF2B5EF4-FFF2-40B4-BE49-F238E27FC236}">
              <a16:creationId xmlns:a16="http://schemas.microsoft.com/office/drawing/2014/main" id="{FDB320EC-3C99-499C-8CA9-7BFF8D6B5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290285</xdr:colOff>
      <xdr:row>25</xdr:row>
      <xdr:rowOff>108857</xdr:rowOff>
    </xdr:from>
    <xdr:to>
      <xdr:col>40</xdr:col>
      <xdr:colOff>338665</xdr:colOff>
      <xdr:row>55</xdr:row>
      <xdr:rowOff>72572</xdr:rowOff>
    </xdr:to>
    <xdr:sp macro="" textlink="">
      <xdr:nvSpPr>
        <xdr:cNvPr id="7" name="TextBox 6">
          <a:extLst>
            <a:ext uri="{FF2B5EF4-FFF2-40B4-BE49-F238E27FC236}">
              <a16:creationId xmlns:a16="http://schemas.microsoft.com/office/drawing/2014/main" id="{07BEA24F-D11E-11CC-2E41-52EAABF24858}"/>
            </a:ext>
          </a:extLst>
        </xdr:cNvPr>
        <xdr:cNvSpPr txBox="1"/>
      </xdr:nvSpPr>
      <xdr:spPr>
        <a:xfrm>
          <a:off x="23186571" y="10631714"/>
          <a:ext cx="5600094" cy="54065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t>         💡 KEY INSIGHTS</a:t>
          </a:r>
        </a:p>
        <a:p>
          <a:pPr lvl="0"/>
          <a:r>
            <a:rPr lang="en-IN" sz="2100" b="0">
              <a:latin typeface="Times New Roman" panose="02020603050405020304" pitchFamily="18" charset="0"/>
              <a:cs typeface="Times New Roman" panose="02020603050405020304" pitchFamily="18" charset="0"/>
            </a:rPr>
            <a:t>1.Expenses exceed income by Rs. 77,440, resulting in negative net savings. </a:t>
          </a:r>
        </a:p>
        <a:p>
          <a:pPr lvl="0"/>
          <a:endParaRPr lang="en-IN" sz="2100" b="0">
            <a:latin typeface="Times New Roman" panose="02020603050405020304" pitchFamily="18" charset="0"/>
            <a:cs typeface="Times New Roman" panose="02020603050405020304" pitchFamily="18" charset="0"/>
          </a:endParaRPr>
        </a:p>
        <a:p>
          <a:pPr lvl="0"/>
          <a:r>
            <a:rPr lang="en-IN" sz="2100" b="0">
              <a:latin typeface="Times New Roman" panose="02020603050405020304" pitchFamily="18" charset="0"/>
              <a:cs typeface="Times New Roman" panose="02020603050405020304" pitchFamily="18" charset="0"/>
            </a:rPr>
            <a:t>2.Utilities is the top spending category, making it an important area to monitor.</a:t>
          </a:r>
        </a:p>
        <a:p>
          <a:pPr lvl="0"/>
          <a:r>
            <a:rPr lang="en-IN" sz="2100" b="0">
              <a:latin typeface="Times New Roman" panose="02020603050405020304" pitchFamily="18" charset="0"/>
              <a:cs typeface="Times New Roman" panose="02020603050405020304" pitchFamily="18" charset="0"/>
            </a:rPr>
            <a:t> </a:t>
          </a:r>
        </a:p>
        <a:p>
          <a:pPr lvl="0"/>
          <a:r>
            <a:rPr lang="en-IN" sz="2100" b="0">
              <a:latin typeface="Times New Roman" panose="02020603050405020304" pitchFamily="18" charset="0"/>
              <a:cs typeface="Times New Roman" panose="02020603050405020304" pitchFamily="18" charset="0"/>
            </a:rPr>
            <a:t>3.Average monthly expense is Rs. 28,161, indicating a relatively high recurring spending level.</a:t>
          </a:r>
        </a:p>
        <a:p>
          <a:pPr lvl="0"/>
          <a:r>
            <a:rPr lang="en-IN" sz="2100" b="0">
              <a:latin typeface="Times New Roman" panose="02020603050405020304" pitchFamily="18" charset="0"/>
              <a:cs typeface="Times New Roman" panose="02020603050405020304" pitchFamily="18" charset="0"/>
            </a:rPr>
            <a:t> </a:t>
          </a:r>
          <a:br>
            <a:rPr lang="en-IN" sz="2100" b="0">
              <a:latin typeface="Times New Roman" panose="02020603050405020304" pitchFamily="18" charset="0"/>
              <a:cs typeface="Times New Roman" panose="02020603050405020304" pitchFamily="18" charset="0"/>
            </a:rPr>
          </a:br>
          <a:r>
            <a:rPr lang="en-IN" sz="2100" b="0">
              <a:latin typeface="Times New Roman" panose="02020603050405020304" pitchFamily="18" charset="0"/>
              <a:cs typeface="Times New Roman" panose="02020603050405020304" pitchFamily="18" charset="0"/>
            </a:rPr>
            <a:t>4.</a:t>
          </a:r>
          <a:r>
            <a:rPr lang="en-IN" sz="2100" b="0"/>
            <a:t>301 transactions were recorded, providing a strong base for tracking spending patterns and improving budget control.</a:t>
          </a:r>
        </a:p>
      </xdr:txBody>
    </xdr:sp>
    <xdr:clientData/>
  </xdr:twoCellAnchor>
  <xdr:twoCellAnchor editAs="oneCell">
    <xdr:from>
      <xdr:col>42</xdr:col>
      <xdr:colOff>255451</xdr:colOff>
      <xdr:row>23</xdr:row>
      <xdr:rowOff>170544</xdr:rowOff>
    </xdr:from>
    <xdr:to>
      <xdr:col>47</xdr:col>
      <xdr:colOff>253999</xdr:colOff>
      <xdr:row>46</xdr:row>
      <xdr:rowOff>76200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229E599C-D90A-10F9-457A-156033F89E3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9712194" y="10250715"/>
              <a:ext cx="3068319" cy="3955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247922</xdr:colOff>
      <xdr:row>15</xdr:row>
      <xdr:rowOff>377553</xdr:rowOff>
    </xdr:from>
    <xdr:to>
      <xdr:col>47</xdr:col>
      <xdr:colOff>296333</xdr:colOff>
      <xdr:row>19</xdr:row>
      <xdr:rowOff>118534</xdr:rowOff>
    </xdr:to>
    <mc:AlternateContent xmlns:mc="http://schemas.openxmlformats.org/markup-compatibility/2006" xmlns:a14="http://schemas.microsoft.com/office/drawing/2010/main">
      <mc:Choice Requires="a14">
        <xdr:graphicFrame macro="">
          <xdr:nvGraphicFramePr>
            <xdr:cNvPr id="9" name="TYPE">
              <a:extLst>
                <a:ext uri="{FF2B5EF4-FFF2-40B4-BE49-F238E27FC236}">
                  <a16:creationId xmlns:a16="http://schemas.microsoft.com/office/drawing/2014/main" id="{F6B72918-BB00-C572-AA94-8195A09AADB3}"/>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29704665" y="7975782"/>
              <a:ext cx="3118182" cy="1504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153613</xdr:colOff>
      <xdr:row>6</xdr:row>
      <xdr:rowOff>169559</xdr:rowOff>
    </xdr:from>
    <xdr:to>
      <xdr:col>47</xdr:col>
      <xdr:colOff>294850</xdr:colOff>
      <xdr:row>14</xdr:row>
      <xdr:rowOff>140308</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BADE6EB1-9482-569A-59B4-C70746C6169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9610356" y="4785102"/>
              <a:ext cx="3211008" cy="2561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42</xdr:col>
      <xdr:colOff>355600</xdr:colOff>
      <xdr:row>2</xdr:row>
      <xdr:rowOff>228600</xdr:rowOff>
    </xdr:from>
    <xdr:to>
      <xdr:col>47</xdr:col>
      <xdr:colOff>25400</xdr:colOff>
      <xdr:row>4</xdr:row>
      <xdr:rowOff>0</xdr:rowOff>
    </xdr:to>
    <xdr:sp macro="" textlink="">
      <xdr:nvSpPr>
        <xdr:cNvPr id="14" name="TextBox 13">
          <a:extLst>
            <a:ext uri="{FF2B5EF4-FFF2-40B4-BE49-F238E27FC236}">
              <a16:creationId xmlns:a16="http://schemas.microsoft.com/office/drawing/2014/main" id="{A94396B6-FA9C-4142-169C-1D991194CFBA}"/>
            </a:ext>
          </a:extLst>
        </xdr:cNvPr>
        <xdr:cNvSpPr txBox="1"/>
      </xdr:nvSpPr>
      <xdr:spPr>
        <a:xfrm>
          <a:off x="29819600" y="2946400"/>
          <a:ext cx="2743200" cy="132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100" b="1">
              <a:solidFill>
                <a:srgbClr val="FF0000"/>
              </a:solidFill>
              <a:latin typeface="Times New Roman" panose="02020603050405020304" pitchFamily="18" charset="0"/>
              <a:cs typeface="Times New Roman" panose="02020603050405020304" pitchFamily="18" charset="0"/>
            </a:rPr>
            <a:t>FILTERS</a:t>
          </a:r>
        </a:p>
        <a:p>
          <a:endParaRPr lang="en-IN" sz="1100"/>
        </a:p>
      </xdr:txBody>
    </xdr:sp>
    <xdr:clientData/>
  </xdr:twoCellAnchor>
  <xdr:twoCellAnchor editAs="oneCell">
    <xdr:from>
      <xdr:col>0</xdr:col>
      <xdr:colOff>0</xdr:colOff>
      <xdr:row>59</xdr:row>
      <xdr:rowOff>163284</xdr:rowOff>
    </xdr:from>
    <xdr:to>
      <xdr:col>48</xdr:col>
      <xdr:colOff>0</xdr:colOff>
      <xdr:row>67</xdr:row>
      <xdr:rowOff>108857</xdr:rowOff>
    </xdr:to>
    <xdr:pic>
      <xdr:nvPicPr>
        <xdr:cNvPr id="11" name="Picture 10">
          <a:extLst>
            <a:ext uri="{FF2B5EF4-FFF2-40B4-BE49-F238E27FC236}">
              <a16:creationId xmlns:a16="http://schemas.microsoft.com/office/drawing/2014/main" id="{C1DD7117-D019-938D-32AD-35899053EC18}"/>
            </a:ext>
          </a:extLst>
        </xdr:cNvPr>
        <xdr:cNvPicPr>
          <a:picLocks noChangeAspect="1"/>
        </xdr:cNvPicPr>
      </xdr:nvPicPr>
      <xdr:blipFill>
        <a:blip xmlns:r="http://schemas.openxmlformats.org/officeDocument/2006/relationships" r:embed="rId6"/>
        <a:stretch>
          <a:fillRect/>
        </a:stretch>
      </xdr:blipFill>
      <xdr:spPr>
        <a:xfrm>
          <a:off x="0" y="16854713"/>
          <a:ext cx="33419143" cy="139700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 Rathika Priyanka" refreshedDate="46290.529906134259" createdVersion="8" refreshedVersion="8" minRefreshableVersion="3" recordCount="300" xr:uid="{AC0EE73E-A28C-461D-B00D-23400B9283CF}">
  <cacheSource type="worksheet">
    <worksheetSource ref="A1:G301" sheet="transactions"/>
  </cacheSource>
  <cacheFields count="7">
    <cacheField name="S.NO" numFmtId="0">
      <sharedItems containsSemiMixedTypes="0" containsString="0" containsNumber="1" containsInteger="1" minValue="1" maxValue="300"/>
    </cacheField>
    <cacheField name="DATE" numFmtId="164">
      <sharedItems containsSemiMixedTypes="0" containsNonDate="0" containsDate="1" containsString="0" minDate="2026-04-06T00:00:00" maxDate="2026-09-30T00:00:00"/>
    </cacheField>
    <cacheField name="CATEGORY" numFmtId="0">
      <sharedItems count="9">
        <s v="Income"/>
        <s v="Food"/>
        <s v="Shopping"/>
        <s v="Education"/>
        <s v="Entertainment"/>
        <s v="Miscellaneous"/>
        <s v="Utilities"/>
        <s v="Rent"/>
        <s v="Travel"/>
      </sharedItems>
    </cacheField>
    <cacheField name="TYPE" numFmtId="0">
      <sharedItems count="2">
        <s v="Income"/>
        <s v="Expense"/>
      </sharedItems>
    </cacheField>
    <cacheField name="DESCRIPTION " numFmtId="0">
      <sharedItems/>
    </cacheField>
    <cacheField name="AMOUNT(Rs)" numFmtId="165">
      <sharedItems containsMixedTypes="1" containsNumber="1" minValue="11.383330076218" maxValue="7838"/>
    </cacheField>
    <cacheField name="MONTH" numFmtId="0">
      <sharedItems count="6">
        <s v="Apr-2026"/>
        <s v="May-2026"/>
        <s v="Jun-2026"/>
        <s v="Jul-2026"/>
        <s v="Aug-2026"/>
        <s v="Sep-2026"/>
      </sharedItems>
    </cacheField>
  </cacheFields>
  <extLst>
    <ext xmlns:x14="http://schemas.microsoft.com/office/spreadsheetml/2009/9/main" uri="{725AE2AE-9491-48be-B2B4-4EB974FC3084}">
      <x14:pivotCacheDefinition pivotCacheId="304165560"/>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
    <d v="2026-04-09T00:00:00"/>
    <x v="0"/>
    <x v="0"/>
    <s v="Monthly Allowance"/>
    <n v="6501"/>
    <x v="0"/>
  </r>
  <r>
    <n v="2"/>
    <d v="2026-04-08T00:00:00"/>
    <x v="0"/>
    <x v="0"/>
    <s v="Freelance Project"/>
    <n v="1785"/>
    <x v="0"/>
  </r>
  <r>
    <n v="3"/>
    <d v="2026-04-20T00:00:00"/>
    <x v="1"/>
    <x v="1"/>
    <s v="Groceries"/>
    <n v="827"/>
    <x v="0"/>
  </r>
  <r>
    <n v="4"/>
    <d v="2026-04-18T00:00:00"/>
    <x v="2"/>
    <x v="1"/>
    <s v="Clothing"/>
    <n v="803"/>
    <x v="0"/>
  </r>
  <r>
    <n v="5"/>
    <d v="2026-04-23T00:00:00"/>
    <x v="3"/>
    <x v="1"/>
    <s v="Stationery/Books"/>
    <n v="632"/>
    <x v="0"/>
  </r>
  <r>
    <n v="6"/>
    <d v="2026-04-23T00:00:00"/>
    <x v="4"/>
    <x v="1"/>
    <s v="Movies/OTT"/>
    <n v="479"/>
    <x v="0"/>
  </r>
  <r>
    <n v="7"/>
    <d v="2026-04-14T00:00:00"/>
    <x v="5"/>
    <x v="1"/>
    <s v="Miscellaneous"/>
    <n v="312"/>
    <x v="0"/>
  </r>
  <r>
    <n v="8"/>
    <d v="2026-04-15T00:00:00"/>
    <x v="6"/>
    <x v="1"/>
    <s v="Electricity Bill"/>
    <n v="801"/>
    <x v="0"/>
  </r>
  <r>
    <n v="9"/>
    <d v="2026-04-09T00:00:00"/>
    <x v="7"/>
    <x v="1"/>
    <s v="Rent &amp; Hostel Fee"/>
    <n v="3914"/>
    <x v="0"/>
  </r>
  <r>
    <n v="10"/>
    <d v="2026-04-28T00:00:00"/>
    <x v="6"/>
    <x v="1"/>
    <s v="Wifi/Internet"/>
    <n v="401"/>
    <x v="0"/>
  </r>
  <r>
    <n v="11"/>
    <d v="2026-04-25T00:00:00"/>
    <x v="3"/>
    <x v="1"/>
    <s v="Online Course"/>
    <n v="1325"/>
    <x v="0"/>
  </r>
  <r>
    <n v="12"/>
    <d v="2026-04-06T00:00:00"/>
    <x v="4"/>
    <x v="1"/>
    <s v="Outing with Friends"/>
    <n v="757"/>
    <x v="0"/>
  </r>
  <r>
    <n v="13"/>
    <d v="2026-04-14T00:00:00"/>
    <x v="8"/>
    <x v="1"/>
    <s v="Fuel"/>
    <n v="574"/>
    <x v="0"/>
  </r>
  <r>
    <n v="14"/>
    <d v="2026-04-09T00:00:00"/>
    <x v="1"/>
    <x v="1"/>
    <s v="Mess/Canteen"/>
    <n v="759"/>
    <x v="0"/>
  </r>
  <r>
    <n v="15"/>
    <d v="2026-05-03T00:00:00"/>
    <x v="0"/>
    <x v="0"/>
    <s v="Freelance Project"/>
    <n v="2278"/>
    <x v="1"/>
  </r>
  <r>
    <n v="16"/>
    <d v="2026-05-04T00:00:00"/>
    <x v="0"/>
    <x v="0"/>
    <s v="Monthly Allowance"/>
    <n v="6735"/>
    <x v="1"/>
  </r>
  <r>
    <n v="17"/>
    <d v="2026-05-19T00:00:00"/>
    <x v="4"/>
    <x v="1"/>
    <s v="Outing with Friends"/>
    <n v="498"/>
    <x v="1"/>
  </r>
  <r>
    <n v="18"/>
    <d v="2026-05-23T00:00:00"/>
    <x v="8"/>
    <x v="1"/>
    <s v="Fuel"/>
    <n v="435"/>
    <x v="1"/>
  </r>
  <r>
    <n v="19"/>
    <d v="2026-05-02T00:00:00"/>
    <x v="7"/>
    <x v="1"/>
    <s v="Rent &amp; Hostel Fee"/>
    <n v="3838"/>
    <x v="1"/>
  </r>
  <r>
    <n v="20"/>
    <d v="2026-05-08T00:00:00"/>
    <x v="6"/>
    <x v="1"/>
    <s v="Wifi/Internet"/>
    <n v="597"/>
    <x v="1"/>
  </r>
  <r>
    <n v="21"/>
    <d v="2026-05-10T00:00:00"/>
    <x v="4"/>
    <x v="1"/>
    <s v="Movies/OTT"/>
    <n v="240"/>
    <x v="1"/>
  </r>
  <r>
    <n v="22"/>
    <d v="2026-05-28T00:00:00"/>
    <x v="1"/>
    <x v="1"/>
    <s v="Groceries"/>
    <n v="1038"/>
    <x v="1"/>
  </r>
  <r>
    <n v="23"/>
    <d v="2026-05-28T00:00:00"/>
    <x v="6"/>
    <x v="1"/>
    <s v="Electricity Bill"/>
    <n v="551"/>
    <x v="1"/>
  </r>
  <r>
    <n v="24"/>
    <d v="2026-05-13T00:00:00"/>
    <x v="3"/>
    <x v="1"/>
    <s v="Stationery/Books"/>
    <n v="442"/>
    <x v="1"/>
  </r>
  <r>
    <n v="25"/>
    <d v="2026-05-15T00:00:00"/>
    <x v="3"/>
    <x v="1"/>
    <s v="Online Course"/>
    <n v="1150"/>
    <x v="1"/>
  </r>
  <r>
    <n v="26"/>
    <d v="2026-05-27T00:00:00"/>
    <x v="1"/>
    <x v="1"/>
    <s v="Mess/Canteen"/>
    <n v="973"/>
    <x v="1"/>
  </r>
  <r>
    <n v="27"/>
    <d v="2026-05-06T00:00:00"/>
    <x v="6"/>
    <x v="1"/>
    <s v="Mobile Recharge"/>
    <n v="344"/>
    <x v="1"/>
  </r>
  <r>
    <n v="28"/>
    <d v="2026-06-23T00:00:00"/>
    <x v="0"/>
    <x v="0"/>
    <s v="Internship Stipend"/>
    <n v="5918"/>
    <x v="2"/>
  </r>
  <r>
    <n v="29"/>
    <d v="2026-06-22T00:00:00"/>
    <x v="0"/>
    <x v="0"/>
    <s v="Freelance Project"/>
    <n v="2827"/>
    <x v="2"/>
  </r>
  <r>
    <n v="30"/>
    <d v="2026-06-03T00:00:00"/>
    <x v="0"/>
    <x v="0"/>
    <s v="Scholarship Credit"/>
    <n v="2623"/>
    <x v="2"/>
  </r>
  <r>
    <n v="31"/>
    <d v="2026-06-11T00:00:00"/>
    <x v="1"/>
    <x v="1"/>
    <s v="Mess/Canteen"/>
    <n v="657"/>
    <x v="2"/>
  </r>
  <r>
    <n v="32"/>
    <d v="2026-06-08T00:00:00"/>
    <x v="4"/>
    <x v="1"/>
    <s v="Movies/OTT"/>
    <n v="216"/>
    <x v="2"/>
  </r>
  <r>
    <n v="33"/>
    <d v="2026-06-26T00:00:00"/>
    <x v="3"/>
    <x v="1"/>
    <s v="Stationery/Books"/>
    <n v="461"/>
    <x v="2"/>
  </r>
  <r>
    <n v="34"/>
    <d v="2026-06-13T00:00:00"/>
    <x v="8"/>
    <x v="1"/>
    <s v="Bus/Auto Fare"/>
    <n v="437"/>
    <x v="2"/>
  </r>
  <r>
    <n v="35"/>
    <d v="2026-06-03T00:00:00"/>
    <x v="5"/>
    <x v="1"/>
    <s v="Miscellaneous"/>
    <n v="308"/>
    <x v="2"/>
  </r>
  <r>
    <n v="36"/>
    <d v="2026-06-30T00:00:00"/>
    <x v="6"/>
    <x v="1"/>
    <s v="Wifi/Internet"/>
    <n v="545"/>
    <x v="2"/>
  </r>
  <r>
    <n v="37"/>
    <d v="2026-06-29T00:00:00"/>
    <x v="6"/>
    <x v="1"/>
    <s v="Electricity Bill"/>
    <n v="867"/>
    <x v="2"/>
  </r>
  <r>
    <n v="38"/>
    <d v="2026-06-11T00:00:00"/>
    <x v="4"/>
    <x v="1"/>
    <s v="Outing with Friends"/>
    <n v="508"/>
    <x v="2"/>
  </r>
  <r>
    <n v="39"/>
    <d v="2026-06-21T00:00:00"/>
    <x v="6"/>
    <x v="1"/>
    <s v="Mobile Recharge"/>
    <n v="377"/>
    <x v="2"/>
  </r>
  <r>
    <n v="40"/>
    <d v="2026-06-13T00:00:00"/>
    <x v="8"/>
    <x v="1"/>
    <s v="Fuel"/>
    <n v="852"/>
    <x v="2"/>
  </r>
  <r>
    <n v="41"/>
    <d v="2026-06-30T00:00:00"/>
    <x v="1"/>
    <x v="1"/>
    <s v="Groceries"/>
    <n v="1458"/>
    <x v="2"/>
  </r>
  <r>
    <n v="42"/>
    <d v="2026-06-15T00:00:00"/>
    <x v="3"/>
    <x v="1"/>
    <s v="Online Course"/>
    <n v="646"/>
    <x v="2"/>
  </r>
  <r>
    <n v="43"/>
    <d v="2026-07-24T00:00:00"/>
    <x v="0"/>
    <x v="0"/>
    <s v="Internship Stipend"/>
    <n v="5197"/>
    <x v="3"/>
  </r>
  <r>
    <n v="44"/>
    <d v="2026-07-14T00:00:00"/>
    <x v="0"/>
    <x v="0"/>
    <s v="Monthly Allowance"/>
    <n v="7838"/>
    <x v="3"/>
  </r>
  <r>
    <n v="45"/>
    <d v="2026-07-19T00:00:00"/>
    <x v="0"/>
    <x v="0"/>
    <s v="Scholarship Credit"/>
    <n v="2408"/>
    <x v="3"/>
  </r>
  <r>
    <n v="46"/>
    <d v="2026-07-20T00:00:00"/>
    <x v="8"/>
    <x v="1"/>
    <s v="Bus/Auto Fare"/>
    <n v="332"/>
    <x v="3"/>
  </r>
  <r>
    <n v="47"/>
    <d v="2026-07-13T00:00:00"/>
    <x v="1"/>
    <x v="1"/>
    <s v="Mess/Canteen"/>
    <n v="990"/>
    <x v="3"/>
  </r>
  <r>
    <n v="48"/>
    <d v="2026-07-20T00:00:00"/>
    <x v="4"/>
    <x v="1"/>
    <s v="Movies/OTT"/>
    <n v="439"/>
    <x v="3"/>
  </r>
  <r>
    <n v="49"/>
    <d v="2026-07-17T00:00:00"/>
    <x v="6"/>
    <x v="1"/>
    <s v="Wifi/Internet"/>
    <n v="464"/>
    <x v="3"/>
  </r>
  <r>
    <n v="50"/>
    <d v="2026-07-18T00:00:00"/>
    <x v="1"/>
    <x v="1"/>
    <s v="Groceries"/>
    <n v="1681"/>
    <x v="3"/>
  </r>
  <r>
    <n v="51"/>
    <d v="2026-07-31T00:00:00"/>
    <x v="7"/>
    <x v="1"/>
    <s v="Rent &amp; Hostel Fee"/>
    <n v="3505"/>
    <x v="3"/>
  </r>
  <r>
    <n v="52"/>
    <d v="2026-07-22T00:00:00"/>
    <x v="4"/>
    <x v="1"/>
    <s v="Outing with Friends"/>
    <n v="769"/>
    <x v="3"/>
  </r>
  <r>
    <n v="53"/>
    <d v="2026-07-04T00:00:00"/>
    <x v="2"/>
    <x v="1"/>
    <s v="Clothing"/>
    <n v="1298"/>
    <x v="3"/>
  </r>
  <r>
    <n v="54"/>
    <d v="2026-07-29T00:00:00"/>
    <x v="6"/>
    <x v="1"/>
    <s v="Mobile Recharge"/>
    <n v="387"/>
    <x v="3"/>
  </r>
  <r>
    <n v="55"/>
    <d v="2026-07-25T00:00:00"/>
    <x v="6"/>
    <x v="1"/>
    <s v="Electricity Bill"/>
    <n v="636"/>
    <x v="3"/>
  </r>
  <r>
    <n v="56"/>
    <d v="2026-07-25T00:00:00"/>
    <x v="5"/>
    <x v="1"/>
    <s v="Miscellaneous"/>
    <n v="528"/>
    <x v="3"/>
  </r>
  <r>
    <n v="57"/>
    <d v="2026-08-06T00:00:00"/>
    <x v="0"/>
    <x v="0"/>
    <s v="Monthly Allowance"/>
    <n v="6929"/>
    <x v="4"/>
  </r>
  <r>
    <n v="58"/>
    <d v="2026-08-01T00:00:00"/>
    <x v="0"/>
    <x v="0"/>
    <s v="Internship Stipend"/>
    <n v="5953"/>
    <x v="4"/>
  </r>
  <r>
    <n v="59"/>
    <d v="2026-08-24T00:00:00"/>
    <x v="0"/>
    <x v="0"/>
    <s v="Freelance Project"/>
    <n v="3293"/>
    <x v="4"/>
  </r>
  <r>
    <n v="60"/>
    <d v="2026-08-11T00:00:00"/>
    <x v="8"/>
    <x v="1"/>
    <s v="Fuel"/>
    <n v="650"/>
    <x v="4"/>
  </r>
  <r>
    <n v="61"/>
    <d v="2026-08-01T00:00:00"/>
    <x v="4"/>
    <x v="1"/>
    <s v="Movies/OTT"/>
    <n v="257"/>
    <x v="4"/>
  </r>
  <r>
    <n v="62"/>
    <d v="2026-08-30T00:00:00"/>
    <x v="1"/>
    <x v="1"/>
    <s v="Mess/Canteen"/>
    <n v="971"/>
    <x v="4"/>
  </r>
  <r>
    <n v="63"/>
    <d v="2026-08-29T00:00:00"/>
    <x v="3"/>
    <x v="1"/>
    <s v="Online Course"/>
    <n v="1351"/>
    <x v="4"/>
  </r>
  <r>
    <n v="64"/>
    <d v="2026-08-26T00:00:00"/>
    <x v="1"/>
    <x v="1"/>
    <s v="Groceries"/>
    <n v="1114"/>
    <x v="4"/>
  </r>
  <r>
    <n v="65"/>
    <d v="2026-08-08T00:00:00"/>
    <x v="5"/>
    <x v="1"/>
    <s v="Miscellaneous"/>
    <n v="229"/>
    <x v="4"/>
  </r>
  <r>
    <n v="66"/>
    <d v="2026-08-08T00:00:00"/>
    <x v="8"/>
    <x v="1"/>
    <s v="Bus/Auto Fare"/>
    <n v="590"/>
    <x v="4"/>
  </r>
  <r>
    <n v="67"/>
    <d v="2026-08-31T00:00:00"/>
    <x v="4"/>
    <x v="1"/>
    <s v="Outing with Friends"/>
    <n v="440"/>
    <x v="4"/>
  </r>
  <r>
    <n v="68"/>
    <d v="2026-08-03T00:00:00"/>
    <x v="3"/>
    <x v="1"/>
    <s v="Stationery/Books"/>
    <n v="674"/>
    <x v="4"/>
  </r>
  <r>
    <n v="69"/>
    <d v="2026-08-16T00:00:00"/>
    <x v="6"/>
    <x v="1"/>
    <s v="Electricity Bill"/>
    <n v="535"/>
    <x v="4"/>
  </r>
  <r>
    <n v="70"/>
    <d v="2026-08-25T00:00:00"/>
    <x v="7"/>
    <x v="1"/>
    <s v="Rent &amp; Hostel Fee"/>
    <n v="3772"/>
    <x v="4"/>
  </r>
  <r>
    <n v="71"/>
    <d v="2026-08-25T00:00:00"/>
    <x v="6"/>
    <x v="1"/>
    <s v="Mobile Recharge"/>
    <n v="282"/>
    <x v="4"/>
  </r>
  <r>
    <n v="72"/>
    <d v="2026-09-06T00:00:00"/>
    <x v="0"/>
    <x v="0"/>
    <s v="Scholarship Credit"/>
    <n v="2271"/>
    <x v="5"/>
  </r>
  <r>
    <n v="73"/>
    <d v="2026-09-17T00:00:00"/>
    <x v="0"/>
    <x v="0"/>
    <s v="Freelance Project"/>
    <n v="3286"/>
    <x v="5"/>
  </r>
  <r>
    <n v="74"/>
    <d v="2026-09-08T00:00:00"/>
    <x v="6"/>
    <x v="1"/>
    <s v="Electricity Bill"/>
    <n v="532"/>
    <x v="5"/>
  </r>
  <r>
    <n v="75"/>
    <d v="2026-09-11T00:00:00"/>
    <x v="8"/>
    <x v="1"/>
    <s v="Bus/Auto Fare"/>
    <n v="310"/>
    <x v="5"/>
  </r>
  <r>
    <n v="76"/>
    <d v="2026-09-19T00:00:00"/>
    <x v="4"/>
    <x v="1"/>
    <s v="Movies/OTT"/>
    <n v="483"/>
    <x v="5"/>
  </r>
  <r>
    <n v="77"/>
    <d v="2026-09-08T00:00:00"/>
    <x v="3"/>
    <x v="1"/>
    <s v="Online Course"/>
    <n v="1102"/>
    <x v="5"/>
  </r>
  <r>
    <n v="78"/>
    <d v="2026-09-08T00:00:00"/>
    <x v="8"/>
    <x v="1"/>
    <s v="Fuel"/>
    <n v="403"/>
    <x v="5"/>
  </r>
  <r>
    <n v="79"/>
    <d v="2026-09-03T00:00:00"/>
    <x v="5"/>
    <x v="1"/>
    <s v="Miscellaneous"/>
    <n v="562"/>
    <x v="5"/>
  </r>
  <r>
    <n v="80"/>
    <d v="2026-09-21T00:00:00"/>
    <x v="6"/>
    <x v="1"/>
    <s v="Mobile Recharge"/>
    <n v="265"/>
    <x v="5"/>
  </r>
  <r>
    <n v="81"/>
    <d v="2026-09-08T00:00:00"/>
    <x v="2"/>
    <x v="1"/>
    <s v="Clothing"/>
    <n v="669"/>
    <x v="5"/>
  </r>
  <r>
    <n v="82"/>
    <d v="2026-09-29T00:00:00"/>
    <x v="4"/>
    <x v="1"/>
    <s v="Outing with Friends"/>
    <n v="416"/>
    <x v="5"/>
  </r>
  <r>
    <n v="83"/>
    <d v="2026-09-28T00:00:00"/>
    <x v="3"/>
    <x v="1"/>
    <s v="Stationery/Books"/>
    <n v="469"/>
    <x v="5"/>
  </r>
  <r>
    <n v="84"/>
    <d v="2026-09-03T00:00:00"/>
    <x v="7"/>
    <x v="1"/>
    <s v="Rent &amp; Hostel Fee"/>
    <n v="3763"/>
    <x v="5"/>
  </r>
  <r>
    <n v="85"/>
    <d v="2026-09-08T00:00:00"/>
    <x v="6"/>
    <x v="1"/>
    <s v="Wifi/Internet"/>
    <n v="471"/>
    <x v="5"/>
  </r>
  <r>
    <n v="86"/>
    <d v="2026-04-09T00:00:00"/>
    <x v="0"/>
    <x v="0"/>
    <s v="Monthly Allowance"/>
    <n v="1238.2260504201699"/>
    <x v="0"/>
  </r>
  <r>
    <n v="87"/>
    <d v="2026-04-08T00:00:00"/>
    <x v="0"/>
    <x v="0"/>
    <s v="Freelance Project"/>
    <n v="1232.4931405120201"/>
    <x v="0"/>
  </r>
  <r>
    <n v="88"/>
    <d v="2026-04-20T00:00:00"/>
    <x v="1"/>
    <x v="1"/>
    <s v="Groceries"/>
    <n v="1226.76023060387"/>
    <x v="0"/>
  </r>
  <r>
    <n v="89"/>
    <d v="2026-04-18T00:00:00"/>
    <x v="2"/>
    <x v="1"/>
    <s v="Clothing"/>
    <n v="1221.0273206957199"/>
    <x v="0"/>
  </r>
  <r>
    <n v="90"/>
    <d v="2026-04-23T00:00:00"/>
    <x v="3"/>
    <x v="1"/>
    <s v="Stationery/Books"/>
    <n v="1215.2944107875701"/>
    <x v="0"/>
  </r>
  <r>
    <n v="91"/>
    <d v="2026-04-23T00:00:00"/>
    <x v="4"/>
    <x v="1"/>
    <s v="Movies/OTT"/>
    <n v="1209.56150087942"/>
    <x v="0"/>
  </r>
  <r>
    <n v="92"/>
    <d v="2026-04-14T00:00:00"/>
    <x v="5"/>
    <x v="1"/>
    <s v="Miscellaneous"/>
    <n v="1203.8285909712699"/>
    <x v="0"/>
  </r>
  <r>
    <n v="93"/>
    <d v="2026-04-15T00:00:00"/>
    <x v="6"/>
    <x v="1"/>
    <s v="Electricity Bill"/>
    <n v="1198.0956810631201"/>
    <x v="0"/>
  </r>
  <r>
    <n v="94"/>
    <d v="2026-04-09T00:00:00"/>
    <x v="7"/>
    <x v="1"/>
    <s v="Rent &amp; Hostel Fee"/>
    <n v="1192.36277115497"/>
    <x v="0"/>
  </r>
  <r>
    <n v="95"/>
    <d v="2026-04-28T00:00:00"/>
    <x v="6"/>
    <x v="1"/>
    <s v="Wifi/Internet"/>
    <n v="1186.6298612468199"/>
    <x v="0"/>
  </r>
  <r>
    <n v="96"/>
    <d v="2026-04-25T00:00:00"/>
    <x v="3"/>
    <x v="1"/>
    <s v="Online Course"/>
    <n v="1180.8969513386801"/>
    <x v="0"/>
  </r>
  <r>
    <n v="97"/>
    <d v="2026-04-06T00:00:00"/>
    <x v="4"/>
    <x v="1"/>
    <s v="Outing with Friends"/>
    <n v="1175.16404143053"/>
    <x v="0"/>
  </r>
  <r>
    <n v="98"/>
    <d v="2026-04-14T00:00:00"/>
    <x v="8"/>
    <x v="1"/>
    <s v="Fuel"/>
    <n v="1169.4311315223799"/>
    <x v="0"/>
  </r>
  <r>
    <n v="99"/>
    <d v="2026-04-09T00:00:00"/>
    <x v="1"/>
    <x v="1"/>
    <s v="Mess/Canteen"/>
    <n v="1163.6982216142301"/>
    <x v="0"/>
  </r>
  <r>
    <n v="100"/>
    <d v="2026-05-03T00:00:00"/>
    <x v="0"/>
    <x v="0"/>
    <s v="Freelance Project"/>
    <n v="1157.96531170608"/>
    <x v="1"/>
  </r>
  <r>
    <n v="101"/>
    <d v="2026-05-04T00:00:00"/>
    <x v="0"/>
    <x v="0"/>
    <s v="Monthly Allowance"/>
    <n v="1152.2324017979299"/>
    <x v="1"/>
  </r>
  <r>
    <n v="102"/>
    <d v="2026-05-19T00:00:00"/>
    <x v="4"/>
    <x v="1"/>
    <s v="Outing with Friends"/>
    <n v="1146.4994918897801"/>
    <x v="1"/>
  </r>
  <r>
    <n v="103"/>
    <d v="2026-05-23T00:00:00"/>
    <x v="8"/>
    <x v="1"/>
    <s v="Fuel"/>
    <n v="1140.76658198163"/>
    <x v="1"/>
  </r>
  <r>
    <n v="104"/>
    <d v="2026-05-02T00:00:00"/>
    <x v="7"/>
    <x v="1"/>
    <s v="Rent &amp; Hostel Fee"/>
    <n v="1135.0336720734799"/>
    <x v="1"/>
  </r>
  <r>
    <n v="105"/>
    <d v="2026-05-08T00:00:00"/>
    <x v="6"/>
    <x v="1"/>
    <s v="Wifi/Internet"/>
    <n v="1129.3007621653301"/>
    <x v="1"/>
  </r>
  <r>
    <n v="106"/>
    <d v="2026-05-10T00:00:00"/>
    <x v="4"/>
    <x v="1"/>
    <s v="Movies/OTT"/>
    <n v="1123.56785225718"/>
    <x v="1"/>
  </r>
  <r>
    <n v="107"/>
    <d v="2026-05-28T00:00:00"/>
    <x v="1"/>
    <x v="1"/>
    <s v="Groceries"/>
    <n v="1117.8349423490299"/>
    <x v="1"/>
  </r>
  <r>
    <n v="108"/>
    <d v="2026-05-28T00:00:00"/>
    <x v="6"/>
    <x v="1"/>
    <s v="Electricity Bill"/>
    <n v="1112.1020324408801"/>
    <x v="1"/>
  </r>
  <r>
    <n v="109"/>
    <d v="2026-05-13T00:00:00"/>
    <x v="3"/>
    <x v="1"/>
    <s v="Stationery/Books"/>
    <n v="1106.36912253273"/>
    <x v="1"/>
  </r>
  <r>
    <n v="110"/>
    <d v="2026-05-15T00:00:00"/>
    <x v="3"/>
    <x v="1"/>
    <s v="Online Course"/>
    <n v="1100.6362126245899"/>
    <x v="1"/>
  </r>
  <r>
    <n v="111"/>
    <d v="2026-05-27T00:00:00"/>
    <x v="1"/>
    <x v="1"/>
    <s v="Mess/Canteen"/>
    <n v="1094.9033027164401"/>
    <x v="1"/>
  </r>
  <r>
    <n v="112"/>
    <d v="2026-05-06T00:00:00"/>
    <x v="6"/>
    <x v="1"/>
    <s v="Mobile Recharge"/>
    <n v="1089.17039280829"/>
    <x v="1"/>
  </r>
  <r>
    <n v="113"/>
    <d v="2026-06-23T00:00:00"/>
    <x v="0"/>
    <x v="0"/>
    <s v="Internship Stipend"/>
    <n v="1083.4374829001399"/>
    <x v="2"/>
  </r>
  <r>
    <n v="114"/>
    <d v="2026-06-22T00:00:00"/>
    <x v="0"/>
    <x v="0"/>
    <s v="Freelance Project"/>
    <n v="1077.7045729919901"/>
    <x v="2"/>
  </r>
  <r>
    <n v="115"/>
    <d v="2026-06-03T00:00:00"/>
    <x v="0"/>
    <x v="0"/>
    <s v="Scholarship Credit"/>
    <n v="1071.97166308384"/>
    <x v="2"/>
  </r>
  <r>
    <n v="116"/>
    <d v="2026-06-11T00:00:00"/>
    <x v="1"/>
    <x v="1"/>
    <s v="Mess/Canteen"/>
    <n v="1066.2387531756899"/>
    <x v="2"/>
  </r>
  <r>
    <n v="117"/>
    <d v="2026-06-08T00:00:00"/>
    <x v="4"/>
    <x v="1"/>
    <s v="Movies/OTT"/>
    <n v="1060.5058432675401"/>
    <x v="2"/>
  </r>
  <r>
    <n v="118"/>
    <d v="2026-06-26T00:00:00"/>
    <x v="3"/>
    <x v="1"/>
    <s v="Stationery/Books"/>
    <n v="1054.77293335939"/>
    <x v="2"/>
  </r>
  <r>
    <n v="119"/>
    <d v="2026-06-13T00:00:00"/>
    <x v="8"/>
    <x v="1"/>
    <s v="Bus/Auto Fare"/>
    <n v="1049.0400234512399"/>
    <x v="2"/>
  </r>
  <r>
    <n v="120"/>
    <d v="2026-06-03T00:00:00"/>
    <x v="5"/>
    <x v="1"/>
    <s v="Miscellaneous"/>
    <n v="1043.3071135430901"/>
    <x v="2"/>
  </r>
  <r>
    <n v="121"/>
    <d v="2026-06-30T00:00:00"/>
    <x v="6"/>
    <x v="1"/>
    <s v="Wifi/Internet"/>
    <n v="1037.57420363494"/>
    <x v="2"/>
  </r>
  <r>
    <n v="122"/>
    <d v="2026-06-29T00:00:00"/>
    <x v="6"/>
    <x v="1"/>
    <s v="Electricity Bill"/>
    <n v="1031.8412937267899"/>
    <x v="2"/>
  </r>
  <r>
    <n v="123"/>
    <d v="2026-06-11T00:00:00"/>
    <x v="4"/>
    <x v="1"/>
    <s v="Outing with Friends"/>
    <n v="1026.10838381864"/>
    <x v="2"/>
  </r>
  <r>
    <n v="124"/>
    <d v="2026-06-21T00:00:00"/>
    <x v="6"/>
    <x v="1"/>
    <s v="Mobile Recharge"/>
    <n v="1020.3754739105"/>
    <x v="2"/>
  </r>
  <r>
    <n v="125"/>
    <d v="2026-06-13T00:00:00"/>
    <x v="8"/>
    <x v="1"/>
    <s v="Fuel"/>
    <n v="1014.64256400235"/>
    <x v="2"/>
  </r>
  <r>
    <n v="126"/>
    <d v="2026-06-30T00:00:00"/>
    <x v="1"/>
    <x v="1"/>
    <s v="Groceries"/>
    <n v="1008.9096540942001"/>
    <x v="2"/>
  </r>
  <r>
    <n v="127"/>
    <d v="2026-06-15T00:00:00"/>
    <x v="3"/>
    <x v="1"/>
    <s v="Online Course"/>
    <n v="1003.17674418605"/>
    <x v="2"/>
  </r>
  <r>
    <n v="128"/>
    <d v="2026-07-24T00:00:00"/>
    <x v="0"/>
    <x v="0"/>
    <s v="Internship Stipend"/>
    <n v="997.44383427789899"/>
    <x v="3"/>
  </r>
  <r>
    <n v="129"/>
    <d v="2026-07-14T00:00:00"/>
    <x v="0"/>
    <x v="0"/>
    <s v="Monthly Allowance"/>
    <n v="991.71092436974902"/>
    <x v="3"/>
  </r>
  <r>
    <n v="130"/>
    <d v="2026-07-19T00:00:00"/>
    <x v="0"/>
    <x v="0"/>
    <s v="Scholarship Credit"/>
    <n v="985.97801446159997"/>
    <x v="3"/>
  </r>
  <r>
    <n v="131"/>
    <d v="2026-07-20T00:00:00"/>
    <x v="8"/>
    <x v="1"/>
    <s v="Bus/Auto Fare"/>
    <n v="980.24510455345001"/>
    <x v="3"/>
  </r>
  <r>
    <n v="132"/>
    <d v="2026-07-13T00:00:00"/>
    <x v="1"/>
    <x v="1"/>
    <s v="Mess/Canteen"/>
    <n v="974.51219464530197"/>
    <x v="3"/>
  </r>
  <r>
    <n v="133"/>
    <d v="2026-07-20T00:00:00"/>
    <x v="4"/>
    <x v="1"/>
    <s v="Movies/OTT"/>
    <n v="968.77928473715201"/>
    <x v="3"/>
  </r>
  <r>
    <n v="134"/>
    <d v="2026-07-17T00:00:00"/>
    <x v="6"/>
    <x v="1"/>
    <s v="Wifi/Internet"/>
    <n v="963.04637482900296"/>
    <x v="3"/>
  </r>
  <r>
    <n v="135"/>
    <d v="2026-07-18T00:00:00"/>
    <x v="1"/>
    <x v="1"/>
    <s v="Groceries"/>
    <n v="957.31346492085402"/>
    <x v="3"/>
  </r>
  <r>
    <n v="136"/>
    <d v="2026-07-31T00:00:00"/>
    <x v="7"/>
    <x v="1"/>
    <s v="Rent &amp; Hostel Fee"/>
    <n v="951.58055501270303"/>
    <x v="3"/>
  </r>
  <r>
    <n v="137"/>
    <d v="2026-07-22T00:00:00"/>
    <x v="4"/>
    <x v="1"/>
    <s v="Outing with Friends"/>
    <n v="945.847645104555"/>
    <x v="3"/>
  </r>
  <r>
    <n v="138"/>
    <d v="2026-07-04T00:00:00"/>
    <x v="2"/>
    <x v="1"/>
    <s v="Clothing"/>
    <n v="940.11473519640504"/>
    <x v="3"/>
  </r>
  <r>
    <n v="139"/>
    <d v="2026-07-29T00:00:00"/>
    <x v="6"/>
    <x v="1"/>
    <s v="Mobile Recharge"/>
    <n v="934.38182528825701"/>
    <x v="3"/>
  </r>
  <r>
    <n v="140"/>
    <d v="2026-07-25T00:00:00"/>
    <x v="6"/>
    <x v="1"/>
    <s v="Electricity Bill"/>
    <n v="928.64891538010602"/>
    <x v="3"/>
  </r>
  <r>
    <n v="141"/>
    <d v="2026-07-25T00:00:00"/>
    <x v="5"/>
    <x v="1"/>
    <s v="Miscellaneous"/>
    <n v="922.91600547195799"/>
    <x v="3"/>
  </r>
  <r>
    <n v="142"/>
    <d v="2026-08-06T00:00:00"/>
    <x v="0"/>
    <x v="0"/>
    <s v="Monthly Allowance"/>
    <n v="917.18309556380802"/>
    <x v="4"/>
  </r>
  <r>
    <n v="143"/>
    <d v="2026-08-01T00:00:00"/>
    <x v="0"/>
    <x v="0"/>
    <s v="Internship Stipend"/>
    <n v="911.45018565565897"/>
    <x v="4"/>
  </r>
  <r>
    <n v="144"/>
    <d v="2026-08-24T00:00:00"/>
    <x v="0"/>
    <x v="0"/>
    <s v="Freelance Project"/>
    <n v="905.71727574750901"/>
    <x v="4"/>
  </r>
  <r>
    <n v="145"/>
    <d v="2026-08-11T00:00:00"/>
    <x v="8"/>
    <x v="1"/>
    <s v="Fuel"/>
    <n v="899.98436583936098"/>
    <x v="4"/>
  </r>
  <r>
    <n v="146"/>
    <d v="2026-08-01T00:00:00"/>
    <x v="4"/>
    <x v="1"/>
    <s v="Movies/OTT"/>
    <n v="894.25145593121101"/>
    <x v="4"/>
  </r>
  <r>
    <n v="147"/>
    <d v="2026-08-30T00:00:00"/>
    <x v="1"/>
    <x v="1"/>
    <s v="Mess/Canteen"/>
    <n v="888.51854602306196"/>
    <x v="4"/>
  </r>
  <r>
    <n v="148"/>
    <d v="2026-08-29T00:00:00"/>
    <x v="3"/>
    <x v="1"/>
    <s v="Online Course"/>
    <n v="882.78563611491302"/>
    <x v="4"/>
  </r>
  <r>
    <n v="149"/>
    <d v="2026-08-26T00:00:00"/>
    <x v="1"/>
    <x v="1"/>
    <s v="Groceries"/>
    <n v="877.05272620676396"/>
    <x v="4"/>
  </r>
  <r>
    <n v="150"/>
    <d v="2026-08-08T00:00:00"/>
    <x v="5"/>
    <x v="1"/>
    <s v="Miscellaneous"/>
    <n v="871.319816298614"/>
    <x v="4"/>
  </r>
  <r>
    <n v="151"/>
    <d v="2026-08-08T00:00:00"/>
    <x v="8"/>
    <x v="1"/>
    <s v="Bus/Auto Fare"/>
    <n v="865.58690639046404"/>
    <x v="4"/>
  </r>
  <r>
    <n v="152"/>
    <d v="2026-08-31T00:00:00"/>
    <x v="4"/>
    <x v="1"/>
    <s v="Outing with Friends"/>
    <n v="859.85399648231601"/>
    <x v="4"/>
  </r>
  <r>
    <n v="153"/>
    <d v="2026-08-03T00:00:00"/>
    <x v="3"/>
    <x v="1"/>
    <s v="Stationery/Books"/>
    <n v="854.12108657416604"/>
    <x v="4"/>
  </r>
  <r>
    <n v="154"/>
    <d v="2026-08-16T00:00:00"/>
    <x v="6"/>
    <x v="1"/>
    <s v="Electricity Bill"/>
    <n v="848.38817666601699"/>
    <x v="4"/>
  </r>
  <r>
    <n v="155"/>
    <d v="2026-08-25T00:00:00"/>
    <x v="7"/>
    <x v="1"/>
    <s v="Rent &amp; Hostel Fee"/>
    <n v="842.65526675786703"/>
    <x v="4"/>
  </r>
  <r>
    <n v="156"/>
    <d v="2026-08-25T00:00:00"/>
    <x v="6"/>
    <x v="1"/>
    <s v="Mobile Recharge"/>
    <n v="836.92235684971899"/>
    <x v="4"/>
  </r>
  <r>
    <n v="157"/>
    <d v="2026-09-06T00:00:00"/>
    <x v="0"/>
    <x v="0"/>
    <s v="Scholarship Credit"/>
    <n v="831.18944694156801"/>
    <x v="5"/>
  </r>
  <r>
    <n v="158"/>
    <d v="2026-09-17T00:00:00"/>
    <x v="0"/>
    <x v="0"/>
    <s v="Freelance Project"/>
    <n v="825.45653703341998"/>
    <x v="5"/>
  </r>
  <r>
    <n v="159"/>
    <d v="2026-09-08T00:00:00"/>
    <x v="6"/>
    <x v="1"/>
    <s v="Electricity Bill"/>
    <n v="819.72362712527001"/>
    <x v="5"/>
  </r>
  <r>
    <n v="160"/>
    <d v="2026-09-11T00:00:00"/>
    <x v="8"/>
    <x v="1"/>
    <s v="Bus/Auto Fare"/>
    <n v="813.99071721712096"/>
    <x v="5"/>
  </r>
  <r>
    <n v="161"/>
    <d v="2026-09-19T00:00:00"/>
    <x v="4"/>
    <x v="1"/>
    <s v="Movies/OTT"/>
    <n v="808.25780730897202"/>
    <x v="5"/>
  </r>
  <r>
    <n v="162"/>
    <d v="2026-09-08T00:00:00"/>
    <x v="3"/>
    <x v="1"/>
    <s v="Online Course"/>
    <n v="802.52489740082297"/>
    <x v="5"/>
  </r>
  <r>
    <n v="163"/>
    <d v="2026-09-08T00:00:00"/>
    <x v="8"/>
    <x v="1"/>
    <s v="Fuel"/>
    <n v="796.79198749267402"/>
    <x v="5"/>
  </r>
  <r>
    <n v="164"/>
    <d v="2026-09-03T00:00:00"/>
    <x v="5"/>
    <x v="1"/>
    <s v="Miscellaneous"/>
    <n v="791.05907758452304"/>
    <x v="5"/>
  </r>
  <r>
    <n v="165"/>
    <d v="2026-09-21T00:00:00"/>
    <x v="6"/>
    <x v="1"/>
    <s v="Mobile Recharge"/>
    <n v="785.32616767637501"/>
    <x v="5"/>
  </r>
  <r>
    <n v="166"/>
    <d v="2026-09-08T00:00:00"/>
    <x v="2"/>
    <x v="1"/>
    <s v="Clothing"/>
    <n v="779.59325776822504"/>
    <x v="5"/>
  </r>
  <r>
    <n v="167"/>
    <d v="2026-09-29T00:00:00"/>
    <x v="4"/>
    <x v="1"/>
    <s v="Outing with Friends"/>
    <n v="773.86034786007599"/>
    <x v="5"/>
  </r>
  <r>
    <n v="168"/>
    <d v="2026-09-28T00:00:00"/>
    <x v="3"/>
    <x v="1"/>
    <s v="Stationery/Books"/>
    <n v="768.12743795192603"/>
    <x v="5"/>
  </r>
  <r>
    <n v="169"/>
    <d v="2026-09-03T00:00:00"/>
    <x v="7"/>
    <x v="1"/>
    <s v="Rent &amp; Hostel Fee"/>
    <n v="762.394528043778"/>
    <x v="5"/>
  </r>
  <r>
    <n v="170"/>
    <d v="2026-09-08T00:00:00"/>
    <x v="6"/>
    <x v="1"/>
    <s v="Wifi/Internet"/>
    <n v="756.66161813562803"/>
    <x v="5"/>
  </r>
  <r>
    <n v="171"/>
    <d v="2026-04-09T00:00:00"/>
    <x v="0"/>
    <x v="0"/>
    <s v="Monthly Allowance"/>
    <n v="750.92870822747898"/>
    <x v="0"/>
  </r>
  <r>
    <n v="172"/>
    <d v="2026-04-08T00:00:00"/>
    <x v="0"/>
    <x v="0"/>
    <s v="Freelance Project"/>
    <n v="745.19579831932901"/>
    <x v="0"/>
  </r>
  <r>
    <n v="173"/>
    <d v="2026-04-20T00:00:00"/>
    <x v="1"/>
    <x v="1"/>
    <s v="Groceries"/>
    <n v="739.46288841118098"/>
    <x v="0"/>
  </r>
  <r>
    <n v="174"/>
    <d v="2026-04-18T00:00:00"/>
    <x v="2"/>
    <x v="1"/>
    <s v="Clothing"/>
    <n v="733.72997850303102"/>
    <x v="0"/>
  </r>
  <r>
    <n v="175"/>
    <d v="2026-04-23T00:00:00"/>
    <x v="3"/>
    <x v="1"/>
    <s v="Stationery/Books"/>
    <n v="727.99706859488197"/>
    <x v="0"/>
  </r>
  <r>
    <n v="176"/>
    <d v="2026-04-23T00:00:00"/>
    <x v="4"/>
    <x v="1"/>
    <s v="Movies/OTT"/>
    <n v="722.26415868672802"/>
    <x v="0"/>
  </r>
  <r>
    <n v="177"/>
    <d v="2026-04-14T00:00:00"/>
    <x v="5"/>
    <x v="1"/>
    <s v="Miscellaneous"/>
    <n v="716.53124877857897"/>
    <x v="0"/>
  </r>
  <r>
    <n v="178"/>
    <d v="2026-04-15T00:00:00"/>
    <x v="6"/>
    <x v="1"/>
    <s v="Electricity Bill"/>
    <n v="710.79833887043901"/>
    <x v="0"/>
  </r>
  <r>
    <n v="179"/>
    <d v="2026-04-09T00:00:00"/>
    <x v="7"/>
    <x v="1"/>
    <s v="Rent &amp; Hostel Fee"/>
    <n v="705.06542896228802"/>
    <x v="0"/>
  </r>
  <r>
    <n v="180"/>
    <d v="2026-04-28T00:00:00"/>
    <x v="6"/>
    <x v="1"/>
    <s v="Wifi/Internet"/>
    <n v="699.33251905413795"/>
    <x v="0"/>
  </r>
  <r>
    <n v="181"/>
    <d v="2026-04-25T00:00:00"/>
    <x v="3"/>
    <x v="1"/>
    <s v="Online Course"/>
    <n v="693.59960914598901"/>
    <x v="0"/>
  </r>
  <r>
    <n v="182"/>
    <d v="2026-04-06T00:00:00"/>
    <x v="4"/>
    <x v="1"/>
    <s v="Outing with Friends"/>
    <n v="687.86669923783802"/>
    <x v="0"/>
  </r>
  <r>
    <n v="183"/>
    <d v="2026-04-14T00:00:00"/>
    <x v="8"/>
    <x v="1"/>
    <s v="Fuel"/>
    <n v="682.13378932968897"/>
    <x v="0"/>
  </r>
  <r>
    <n v="184"/>
    <d v="2026-04-09T00:00:00"/>
    <x v="1"/>
    <x v="1"/>
    <s v="Mess/Canteen"/>
    <n v="676.400879421539"/>
    <x v="0"/>
  </r>
  <r>
    <n v="185"/>
    <d v="2026-05-03T00:00:00"/>
    <x v="0"/>
    <x v="0"/>
    <s v="Freelance Project"/>
    <n v="670.66796951338802"/>
    <x v="1"/>
  </r>
  <r>
    <n v="186"/>
    <d v="2026-05-04T00:00:00"/>
    <x v="0"/>
    <x v="0"/>
    <s v="Monthly Allowance"/>
    <n v="664.93505960523896"/>
    <x v="1"/>
  </r>
  <r>
    <n v="187"/>
    <d v="2026-05-19T00:00:00"/>
    <x v="4"/>
    <x v="1"/>
    <s v="Outing with Friends"/>
    <n v="659.202149697089"/>
    <x v="1"/>
  </r>
  <r>
    <n v="188"/>
    <d v="2026-05-23T00:00:00"/>
    <x v="8"/>
    <x v="1"/>
    <s v="Fuel"/>
    <n v="653.46923978893801"/>
    <x v="1"/>
  </r>
  <r>
    <n v="189"/>
    <d v="2026-05-02T00:00:00"/>
    <x v="7"/>
    <x v="1"/>
    <s v="Rent &amp; Hostel Fee"/>
    <n v="647.73632988078896"/>
    <x v="1"/>
  </r>
  <r>
    <n v="190"/>
    <d v="2026-05-08T00:00:00"/>
    <x v="6"/>
    <x v="1"/>
    <s v="Wifi/Internet"/>
    <n v="642.00341997263899"/>
    <x v="1"/>
  </r>
  <r>
    <n v="191"/>
    <d v="2026-05-10T00:00:00"/>
    <x v="4"/>
    <x v="1"/>
    <s v="Movies/OTT"/>
    <n v="636.27051006448801"/>
    <x v="1"/>
  </r>
  <r>
    <n v="192"/>
    <d v="2026-05-28T00:00:00"/>
    <x v="1"/>
    <x v="1"/>
    <s v="Groceries"/>
    <n v="630.53760015634896"/>
    <x v="1"/>
  </r>
  <r>
    <n v="193"/>
    <d v="2026-05-28T00:00:00"/>
    <x v="6"/>
    <x v="1"/>
    <s v="Electricity Bill"/>
    <n v="624.80469024819899"/>
    <x v="1"/>
  </r>
  <r>
    <n v="194"/>
    <d v="2026-05-13T00:00:00"/>
    <x v="3"/>
    <x v="1"/>
    <s v="Stationery/Books"/>
    <n v="619.07178034004801"/>
    <x v="1"/>
  </r>
  <r>
    <n v="195"/>
    <d v="2026-05-15T00:00:00"/>
    <x v="3"/>
    <x v="1"/>
    <s v="Online Course"/>
    <n v="613.33887043189895"/>
    <x v="1"/>
  </r>
  <r>
    <n v="196"/>
    <d v="2026-05-27T00:00:00"/>
    <x v="1"/>
    <x v="1"/>
    <s v="Mess/Canteen"/>
    <n v="607.60596052374899"/>
    <x v="1"/>
  </r>
  <r>
    <n v="197"/>
    <d v="2026-05-06T00:00:00"/>
    <x v="6"/>
    <x v="1"/>
    <s v="Mobile Recharge"/>
    <n v="601.873050615598"/>
    <x v="1"/>
  </r>
  <r>
    <n v="198"/>
    <d v="2026-06-23T00:00:00"/>
    <x v="0"/>
    <x v="0"/>
    <s v="Internship Stipend"/>
    <n v="596.14014070744895"/>
    <x v="2"/>
  </r>
  <r>
    <n v="199"/>
    <d v="2026-06-22T00:00:00"/>
    <x v="0"/>
    <x v="0"/>
    <s v="Freelance Project"/>
    <n v="590.40723079929899"/>
    <x v="2"/>
  </r>
  <r>
    <n v="200"/>
    <d v="2026-06-03T00:00:00"/>
    <x v="0"/>
    <x v="0"/>
    <s v="Scholarship Credit"/>
    <n v="584.674320891148"/>
    <x v="2"/>
  </r>
  <r>
    <n v="201"/>
    <d v="2026-06-11T00:00:00"/>
    <x v="1"/>
    <x v="1"/>
    <s v="Mess/Canteen"/>
    <n v="578.94141098299895"/>
    <x v="2"/>
  </r>
  <r>
    <n v="202"/>
    <d v="2026-06-08T00:00:00"/>
    <x v="4"/>
    <x v="1"/>
    <s v="Movies/OTT"/>
    <n v="573.20850107484898"/>
    <x v="2"/>
  </r>
  <r>
    <n v="203"/>
    <d v="2026-06-26T00:00:00"/>
    <x v="3"/>
    <x v="1"/>
    <s v="Stationery/Books"/>
    <n v="567.475591166698"/>
    <x v="2"/>
  </r>
  <r>
    <n v="204"/>
    <d v="2026-06-13T00:00:00"/>
    <x v="8"/>
    <x v="1"/>
    <s v="Bus/Auto Fare"/>
    <n v="561.74268125854906"/>
    <x v="2"/>
  </r>
  <r>
    <n v="205"/>
    <d v="2026-06-03T00:00:00"/>
    <x v="5"/>
    <x v="1"/>
    <s v="Miscellaneous"/>
    <n v="556.00977135039898"/>
    <x v="2"/>
  </r>
  <r>
    <n v="206"/>
    <d v="2026-06-30T00:00:00"/>
    <x v="6"/>
    <x v="1"/>
    <s v="Wifi/Internet"/>
    <n v="550.27686144224799"/>
    <x v="2"/>
  </r>
  <r>
    <n v="207"/>
    <d v="2026-06-29T00:00:00"/>
    <x v="6"/>
    <x v="1"/>
    <s v="Electricity Bill"/>
    <n v="544.54395153410906"/>
    <x v="2"/>
  </r>
  <r>
    <n v="208"/>
    <d v="2026-06-11T00:00:00"/>
    <x v="4"/>
    <x v="1"/>
    <s v="Outing with Friends"/>
    <n v="538.81104162595898"/>
    <x v="2"/>
  </r>
  <r>
    <n v="209"/>
    <d v="2026-06-21T00:00:00"/>
    <x v="6"/>
    <x v="1"/>
    <s v="Mobile Recharge"/>
    <n v="533.07813171780799"/>
    <x v="2"/>
  </r>
  <r>
    <n v="210"/>
    <d v="2026-06-13T00:00:00"/>
    <x v="8"/>
    <x v="1"/>
    <s v="Fuel"/>
    <n v="527.34522180965905"/>
    <x v="2"/>
  </r>
  <r>
    <n v="211"/>
    <d v="2026-06-30T00:00:00"/>
    <x v="1"/>
    <x v="1"/>
    <s v="Groceries"/>
    <n v="521.61231190150897"/>
    <x v="2"/>
  </r>
  <r>
    <n v="212"/>
    <d v="2026-06-15T00:00:00"/>
    <x v="3"/>
    <x v="1"/>
    <s v="Online Course"/>
    <n v="515.87940199335799"/>
    <x v="2"/>
  </r>
  <r>
    <n v="213"/>
    <d v="2026-07-24T00:00:00"/>
    <x v="0"/>
    <x v="0"/>
    <s v="Internship Stipend"/>
    <n v="510.14649208520899"/>
    <x v="3"/>
  </r>
  <r>
    <n v="214"/>
    <d v="2026-07-14T00:00:00"/>
    <x v="0"/>
    <x v="0"/>
    <s v="Monthly Allowance"/>
    <n v="504.41358217705903"/>
    <x v="3"/>
  </r>
  <r>
    <n v="215"/>
    <d v="2026-07-19T00:00:00"/>
    <x v="0"/>
    <x v="0"/>
    <s v="Scholarship Credit"/>
    <n v="498.68067226890798"/>
    <x v="3"/>
  </r>
  <r>
    <n v="216"/>
    <d v="2026-07-20T00:00:00"/>
    <x v="8"/>
    <x v="1"/>
    <s v="Bus/Auto Fare"/>
    <n v="492.94776236075899"/>
    <x v="3"/>
  </r>
  <r>
    <n v="217"/>
    <d v="2026-07-13T00:00:00"/>
    <x v="1"/>
    <x v="1"/>
    <s v="Mess/Canteen"/>
    <n v="487.21485245260902"/>
    <x v="3"/>
  </r>
  <r>
    <n v="218"/>
    <d v="2026-07-20T00:00:00"/>
    <x v="4"/>
    <x v="1"/>
    <s v="Movies/OTT"/>
    <n v="481.48194254445798"/>
    <x v="3"/>
  </r>
  <r>
    <n v="219"/>
    <d v="2026-07-17T00:00:00"/>
    <x v="6"/>
    <x v="1"/>
    <s v="Wifi/Internet"/>
    <n v="475.74903263630898"/>
    <x v="3"/>
  </r>
  <r>
    <n v="220"/>
    <d v="2026-07-18T00:00:00"/>
    <x v="1"/>
    <x v="1"/>
    <s v="Groceries"/>
    <n v="470.01612272815902"/>
    <x v="3"/>
  </r>
  <r>
    <n v="221"/>
    <d v="2026-07-31T00:00:00"/>
    <x v="7"/>
    <x v="1"/>
    <s v="Rent &amp; Hostel Fee"/>
    <n v="464.28321282001798"/>
    <x v="3"/>
  </r>
  <r>
    <n v="222"/>
    <d v="2026-07-22T00:00:00"/>
    <x v="4"/>
    <x v="1"/>
    <s v="Outing with Friends"/>
    <n v="458.55030291186898"/>
    <x v="3"/>
  </r>
  <r>
    <n v="223"/>
    <d v="2026-07-04T00:00:00"/>
    <x v="2"/>
    <x v="1"/>
    <s v="Clothing"/>
    <n v="452.81739300371902"/>
    <x v="3"/>
  </r>
  <r>
    <n v="224"/>
    <d v="2026-07-29T00:00:00"/>
    <x v="6"/>
    <x v="1"/>
    <s v="Mobile Recharge"/>
    <n v="447.08448309556798"/>
    <x v="3"/>
  </r>
  <r>
    <n v="225"/>
    <d v="2026-07-25T00:00:00"/>
    <x v="6"/>
    <x v="1"/>
    <s v="Electricity Bill"/>
    <n v="441.35157318741898"/>
    <x v="3"/>
  </r>
  <r>
    <n v="226"/>
    <d v="2026-07-25T00:00:00"/>
    <x v="5"/>
    <x v="1"/>
    <s v="Miscellaneous"/>
    <n v="435.61866327926901"/>
    <x v="3"/>
  </r>
  <r>
    <n v="227"/>
    <d v="2026-08-06T00:00:00"/>
    <x v="0"/>
    <x v="0"/>
    <s v="Monthly Allowance"/>
    <n v="429.88575337111803"/>
    <x v="4"/>
  </r>
  <r>
    <n v="228"/>
    <d v="2026-08-01T00:00:00"/>
    <x v="0"/>
    <x v="0"/>
    <s v="Internship Stipend"/>
    <n v="424.15284346296897"/>
    <x v="4"/>
  </r>
  <r>
    <n v="229"/>
    <d v="2026-08-24T00:00:00"/>
    <x v="0"/>
    <x v="0"/>
    <s v="Freelance Project"/>
    <n v="418.41993355481799"/>
    <x v="4"/>
  </r>
  <r>
    <n v="230"/>
    <d v="2026-08-11T00:00:00"/>
    <x v="8"/>
    <x v="1"/>
    <s v="Fuel"/>
    <n v="412.68702364666802"/>
    <x v="4"/>
  </r>
  <r>
    <n v="231"/>
    <d v="2026-04-09T00:00:00"/>
    <x v="0"/>
    <x v="0"/>
    <s v="Monthly Allowance"/>
    <n v="406.954113738518"/>
    <x v="0"/>
  </r>
  <r>
    <n v="232"/>
    <d v="2026-04-08T00:00:00"/>
    <x v="0"/>
    <x v="0"/>
    <s v="Freelance Project"/>
    <n v="401.22120383036798"/>
    <x v="0"/>
  </r>
  <r>
    <n v="233"/>
    <d v="2026-04-20T00:00:00"/>
    <x v="1"/>
    <x v="1"/>
    <s v="Groceries"/>
    <n v="395.48829392221802"/>
    <x v="0"/>
  </r>
  <r>
    <n v="234"/>
    <d v="2026-04-18T00:00:00"/>
    <x v="2"/>
    <x v="1"/>
    <s v="Clothing"/>
    <n v="389.755384014078"/>
    <x v="0"/>
  </r>
  <r>
    <n v="235"/>
    <d v="2026-04-23T00:00:00"/>
    <x v="3"/>
    <x v="1"/>
    <s v="Stationery/Books"/>
    <n v="384.02247410592798"/>
    <x v="0"/>
  </r>
  <r>
    <n v="236"/>
    <d v="2026-04-23T00:00:00"/>
    <x v="4"/>
    <x v="1"/>
    <s v="Movies/OTT"/>
    <n v="378.28956419777802"/>
    <x v="0"/>
  </r>
  <r>
    <n v="237"/>
    <d v="2026-04-14T00:00:00"/>
    <x v="5"/>
    <x v="1"/>
    <s v="Miscellaneous"/>
    <n v="372.556654289628"/>
    <x v="0"/>
  </r>
  <r>
    <n v="238"/>
    <d v="2026-04-15T00:00:00"/>
    <x v="6"/>
    <x v="1"/>
    <s v="Electricity Bill"/>
    <n v="366.82374438147798"/>
    <x v="0"/>
  </r>
  <r>
    <n v="239"/>
    <d v="2026-04-09T00:00:00"/>
    <x v="7"/>
    <x v="1"/>
    <s v="Rent &amp; Hostel Fee"/>
    <n v="361.09083447332802"/>
    <x v="0"/>
  </r>
  <r>
    <n v="240"/>
    <d v="2026-04-28T00:00:00"/>
    <x v="6"/>
    <x v="1"/>
    <s v="Wifi/Internet"/>
    <n v="355.357924565178"/>
    <x v="0"/>
  </r>
  <r>
    <n v="241"/>
    <d v="2026-04-25T00:00:00"/>
    <x v="3"/>
    <x v="1"/>
    <s v="Online Course"/>
    <n v="349.62501465702798"/>
    <x v="0"/>
  </r>
  <r>
    <n v="242"/>
    <d v="2026-04-06T00:00:00"/>
    <x v="4"/>
    <x v="1"/>
    <s v="Outing with Friends"/>
    <n v="343.89210474887801"/>
    <x v="0"/>
  </r>
  <r>
    <n v="243"/>
    <d v="2026-04-14T00:00:00"/>
    <x v="8"/>
    <x v="1"/>
    <s v="Fuel"/>
    <n v="338.15919484072799"/>
    <x v="0"/>
  </r>
  <r>
    <n v="244"/>
    <d v="2026-04-09T00:00:00"/>
    <x v="1"/>
    <x v="1"/>
    <s v="Mess/Canteen"/>
    <n v="332.42628493257803"/>
    <x v="0"/>
  </r>
  <r>
    <n v="245"/>
    <d v="2026-05-03T00:00:00"/>
    <x v="0"/>
    <x v="0"/>
    <s v="Freelance Project"/>
    <n v="326.69337502442801"/>
    <x v="1"/>
  </r>
  <r>
    <n v="246"/>
    <d v="2026-05-04T00:00:00"/>
    <x v="0"/>
    <x v="0"/>
    <s v="Monthly Allowance"/>
    <n v="320.96046511627799"/>
    <x v="1"/>
  </r>
  <r>
    <n v="247"/>
    <d v="2026-05-19T00:00:00"/>
    <x v="4"/>
    <x v="1"/>
    <s v="Outing with Friends"/>
    <n v="315.22755520812802"/>
    <x v="1"/>
  </r>
  <r>
    <n v="248"/>
    <d v="2026-05-23T00:00:00"/>
    <x v="8"/>
    <x v="1"/>
    <s v="Fuel"/>
    <n v="309.49464529998801"/>
    <x v="1"/>
  </r>
  <r>
    <n v="249"/>
    <d v="2026-05-02T00:00:00"/>
    <x v="7"/>
    <x v="1"/>
    <s v="Rent &amp; Hostel Fee"/>
    <n v="303.76173539183799"/>
    <x v="1"/>
  </r>
  <r>
    <n v="250"/>
    <d v="2026-05-08T00:00:00"/>
    <x v="6"/>
    <x v="1"/>
    <s v="Wifi/Internet"/>
    <n v="298.02882548368802"/>
    <x v="1"/>
  </r>
  <r>
    <n v="251"/>
    <d v="2026-05-10T00:00:00"/>
    <x v="4"/>
    <x v="1"/>
    <s v="Movies/OTT"/>
    <n v="292.295915575538"/>
    <x v="1"/>
  </r>
  <r>
    <n v="252"/>
    <d v="2026-05-28T00:00:00"/>
    <x v="1"/>
    <x v="1"/>
    <s v="Groceries"/>
    <n v="286.56300566738798"/>
    <x v="1"/>
  </r>
  <r>
    <n v="253"/>
    <d v="2026-05-28T00:00:00"/>
    <x v="6"/>
    <x v="1"/>
    <s v="Electricity Bill"/>
    <n v="280.83009575923802"/>
    <x v="1"/>
  </r>
  <r>
    <n v="254"/>
    <d v="2026-05-13T00:00:00"/>
    <x v="3"/>
    <x v="1"/>
    <s v="Stationery/Books"/>
    <n v="275.097185851088"/>
    <x v="1"/>
  </r>
  <r>
    <n v="255"/>
    <d v="2026-05-15T00:00:00"/>
    <x v="3"/>
    <x v="1"/>
    <s v="Online Course"/>
    <n v="269.36427594293798"/>
    <x v="1"/>
  </r>
  <r>
    <n v="256"/>
    <d v="2026-05-27T00:00:00"/>
    <x v="1"/>
    <x v="1"/>
    <s v="Mess/Canteen"/>
    <n v="263.63136603478802"/>
    <x v="1"/>
  </r>
  <r>
    <n v="257"/>
    <d v="2026-05-06T00:00:00"/>
    <x v="6"/>
    <x v="1"/>
    <s v="Mobile Recharge"/>
    <n v="257.898456126638"/>
    <x v="1"/>
  </r>
  <r>
    <n v="258"/>
    <d v="2026-06-23T00:00:00"/>
    <x v="0"/>
    <x v="0"/>
    <s v="Internship Stipend"/>
    <n v="252.165546218488"/>
    <x v="2"/>
  </r>
  <r>
    <n v="259"/>
    <d v="2026-06-22T00:00:00"/>
    <x v="0"/>
    <x v="0"/>
    <s v="Freelance Project"/>
    <n v="246.43263631033801"/>
    <x v="2"/>
  </r>
  <r>
    <n v="260"/>
    <d v="2026-06-03T00:00:00"/>
    <x v="0"/>
    <x v="0"/>
    <s v="Scholarship Credit"/>
    <n v="240.69972640218799"/>
    <x v="2"/>
  </r>
  <r>
    <n v="261"/>
    <d v="2026-06-11T00:00:00"/>
    <x v="1"/>
    <x v="1"/>
    <s v="Mess/Canteen"/>
    <n v="234.966816494038"/>
    <x v="2"/>
  </r>
  <r>
    <n v="262"/>
    <d v="2026-06-08T00:00:00"/>
    <x v="4"/>
    <x v="1"/>
    <s v="Movies/OTT"/>
    <n v="229.23390658589801"/>
    <x v="2"/>
  </r>
  <r>
    <n v="263"/>
    <d v="2026-06-26T00:00:00"/>
    <x v="3"/>
    <x v="1"/>
    <s v="Stationery/Books"/>
    <n v="223.50099667774799"/>
    <x v="2"/>
  </r>
  <r>
    <n v="264"/>
    <d v="2026-06-13T00:00:00"/>
    <x v="8"/>
    <x v="1"/>
    <s v="Bus/Auto Fare"/>
    <n v="217.768086769598"/>
    <x v="2"/>
  </r>
  <r>
    <n v="265"/>
    <d v="2026-06-03T00:00:00"/>
    <x v="5"/>
    <x v="1"/>
    <s v="Miscellaneous"/>
    <n v="212.03517686144801"/>
    <x v="2"/>
  </r>
  <r>
    <n v="266"/>
    <d v="2026-06-30T00:00:00"/>
    <x v="6"/>
    <x v="1"/>
    <s v="Wifi/Internet"/>
    <n v="206.30226695329799"/>
    <x v="2"/>
  </r>
  <r>
    <n v="267"/>
    <d v="2026-06-29T00:00:00"/>
    <x v="6"/>
    <x v="1"/>
    <s v="Electricity Bill"/>
    <n v="200.569357045148"/>
    <x v="2"/>
  </r>
  <r>
    <n v="268"/>
    <d v="2026-06-11T00:00:00"/>
    <x v="4"/>
    <x v="1"/>
    <s v="Outing with Friends"/>
    <n v="194.836447136998"/>
    <x v="2"/>
  </r>
  <r>
    <n v="269"/>
    <d v="2026-06-21T00:00:00"/>
    <x v="6"/>
    <x v="1"/>
    <s v="Mobile Recharge"/>
    <n v="189.10353722884801"/>
    <x v="2"/>
  </r>
  <r>
    <n v="270"/>
    <d v="2026-06-13T00:00:00"/>
    <x v="8"/>
    <x v="1"/>
    <s v="Fuel"/>
    <n v="183.37062732069799"/>
    <x v="2"/>
  </r>
  <r>
    <n v="271"/>
    <d v="2026-06-30T00:00:00"/>
    <x v="1"/>
    <x v="1"/>
    <s v="Groceries"/>
    <n v="177.637717412548"/>
    <x v="2"/>
  </r>
  <r>
    <n v="272"/>
    <d v="2026-06-15T00:00:00"/>
    <x v="3"/>
    <x v="1"/>
    <s v="Online Course"/>
    <n v="171.90480750439801"/>
    <x v="2"/>
  </r>
  <r>
    <n v="273"/>
    <d v="2026-07-24T00:00:00"/>
    <x v="0"/>
    <x v="0"/>
    <s v="Internship Stipend"/>
    <n v="166.17189759624799"/>
    <x v="3"/>
  </r>
  <r>
    <n v="274"/>
    <d v="2026-07-14T00:00:00"/>
    <x v="0"/>
    <x v="0"/>
    <s v="Monthly Allowance"/>
    <n v="160.438987688098"/>
    <x v="3"/>
  </r>
  <r>
    <n v="275"/>
    <d v="2026-07-19T00:00:00"/>
    <x v="0"/>
    <x v="0"/>
    <s v="Scholarship Credit"/>
    <n v="154.706077779948"/>
    <x v="3"/>
  </r>
  <r>
    <n v="276"/>
    <d v="2026-07-20T00:00:00"/>
    <x v="8"/>
    <x v="1"/>
    <s v="Bus/Auto Fare"/>
    <n v="148.97316787180799"/>
    <x v="3"/>
  </r>
  <r>
    <n v="277"/>
    <d v="2026-07-13T00:00:00"/>
    <x v="1"/>
    <x v="1"/>
    <s v="Mess/Canteen"/>
    <n v="143.240257963658"/>
    <x v="3"/>
  </r>
  <r>
    <n v="278"/>
    <d v="2026-07-20T00:00:00"/>
    <x v="4"/>
    <x v="1"/>
    <s v="Movies/OTT"/>
    <n v="137.507348055508"/>
    <x v="3"/>
  </r>
  <r>
    <n v="279"/>
    <d v="2026-07-17T00:00:00"/>
    <x v="6"/>
    <x v="1"/>
    <s v="Wifi/Internet"/>
    <n v="131.77443814735801"/>
    <x v="3"/>
  </r>
  <r>
    <n v="280"/>
    <d v="2026-07-18T00:00:00"/>
    <x v="1"/>
    <x v="1"/>
    <s v="Groceries"/>
    <n v="126.04152823920801"/>
    <x v="3"/>
  </r>
  <r>
    <n v="281"/>
    <d v="2026-07-31T00:00:00"/>
    <x v="7"/>
    <x v="1"/>
    <s v="Rent &amp; Hostel Fee"/>
    <n v="120.308618331058"/>
    <x v="3"/>
  </r>
  <r>
    <n v="282"/>
    <d v="2026-07-22T00:00:00"/>
    <x v="4"/>
    <x v="1"/>
    <s v="Outing with Friends"/>
    <n v="114.57570842290799"/>
    <x v="3"/>
  </r>
  <r>
    <n v="283"/>
    <d v="2026-07-04T00:00:00"/>
    <x v="2"/>
    <x v="1"/>
    <s v="Clothing"/>
    <n v="108.842798514758"/>
    <x v="3"/>
  </r>
  <r>
    <n v="284"/>
    <d v="2026-07-29T00:00:00"/>
    <x v="6"/>
    <x v="1"/>
    <s v="Mobile Recharge"/>
    <n v="103.109888606608"/>
    <x v="3"/>
  </r>
  <r>
    <n v="285"/>
    <d v="2026-07-25T00:00:00"/>
    <x v="6"/>
    <x v="1"/>
    <s v="Electricity Bill"/>
    <n v="97.376978698458103"/>
    <x v="3"/>
  </r>
  <r>
    <n v="286"/>
    <d v="2026-07-25T00:00:00"/>
    <x v="5"/>
    <x v="1"/>
    <s v="Miscellaneous"/>
    <n v="91.644068790307998"/>
    <x v="3"/>
  </r>
  <r>
    <n v="287"/>
    <d v="2026-08-06T00:00:00"/>
    <x v="0"/>
    <x v="0"/>
    <s v="Monthly Allowance"/>
    <n v="85.911158882158105"/>
    <x v="4"/>
  </r>
  <r>
    <n v="288"/>
    <d v="2026-08-01T00:00:00"/>
    <x v="0"/>
    <x v="0"/>
    <s v="Internship Stipend"/>
    <n v="80.178248974008099"/>
    <x v="4"/>
  </r>
  <r>
    <n v="289"/>
    <d v="2026-08-24T00:00:00"/>
    <x v="0"/>
    <x v="0"/>
    <s v="Freelance Project"/>
    <n v="74.445339065857993"/>
    <x v="4"/>
  </r>
  <r>
    <n v="290"/>
    <d v="2026-08-11T00:00:00"/>
    <x v="8"/>
    <x v="1"/>
    <s v="Fuel"/>
    <n v="68.712429157718105"/>
    <x v="4"/>
  </r>
  <r>
    <n v="291"/>
    <d v="2026-08-01T00:00:00"/>
    <x v="4"/>
    <x v="1"/>
    <s v="Movies/OTT"/>
    <n v="62.979519249568099"/>
    <x v="4"/>
  </r>
  <r>
    <n v="292"/>
    <d v="2026-08-30T00:00:00"/>
    <x v="1"/>
    <x v="1"/>
    <s v="Mess/Canteen"/>
    <n v="57.246609341418001"/>
    <x v="4"/>
  </r>
  <r>
    <n v="293"/>
    <d v="2026-08-29T00:00:00"/>
    <x v="3"/>
    <x v="1"/>
    <s v="Online Course"/>
    <n v="51.513699433268101"/>
    <x v="4"/>
  </r>
  <r>
    <n v="294"/>
    <d v="2026-08-26T00:00:00"/>
    <x v="1"/>
    <x v="1"/>
    <s v="Groceries"/>
    <n v="45.780789525118102"/>
    <x v="4"/>
  </r>
  <r>
    <n v="295"/>
    <d v="2026-08-08T00:00:00"/>
    <x v="5"/>
    <x v="1"/>
    <s v="Miscellaneous"/>
    <s v="Rs.345"/>
    <x v="4"/>
  </r>
  <r>
    <n v="296"/>
    <d v="2026-08-08T00:00:00"/>
    <x v="8"/>
    <x v="1"/>
    <s v="Bus/Auto Fare"/>
    <n v="34.314969708818097"/>
    <x v="4"/>
  </r>
  <r>
    <n v="297"/>
    <d v="2026-08-31T00:00:00"/>
    <x v="4"/>
    <x v="1"/>
    <s v="Outing with Friends"/>
    <n v="28.582059800667999"/>
    <x v="4"/>
  </r>
  <r>
    <n v="298"/>
    <d v="2026-08-03T00:00:00"/>
    <x v="3"/>
    <x v="1"/>
    <s v="Stationery/Books"/>
    <n v="22.849149892518"/>
    <x v="4"/>
  </r>
  <r>
    <n v="299"/>
    <d v="2026-08-16T00:00:00"/>
    <x v="6"/>
    <x v="1"/>
    <s v="Electricity Bill"/>
    <n v="17.1162399843681"/>
    <x v="4"/>
  </r>
  <r>
    <n v="300"/>
    <d v="2026-08-25T00:00:00"/>
    <x v="7"/>
    <x v="1"/>
    <s v="Rent &amp; Hostel Fee"/>
    <n v="11.383330076218"/>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F289AC-6D8E-459F-ABCB-00F8C61954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Month">
  <location ref="A3:D11" firstHeaderRow="1" firstDataRow="2" firstDataCol="1"/>
  <pivotFields count="7">
    <pivotField showAll="0"/>
    <pivotField numFmtId="164" showAll="0"/>
    <pivotField showAll="0">
      <items count="10">
        <item x="3"/>
        <item x="4"/>
        <item x="1"/>
        <item x="0"/>
        <item x="5"/>
        <item x="7"/>
        <item x="2"/>
        <item x="8"/>
        <item x="6"/>
        <item t="default"/>
      </items>
    </pivotField>
    <pivotField axis="axisCol" showAll="0">
      <items count="3">
        <item x="1"/>
        <item x="0"/>
        <item t="default"/>
      </items>
    </pivotField>
    <pivotField showAll="0"/>
    <pivotField dataField="1" showAll="0"/>
    <pivotField axis="axisRow" showAll="0">
      <items count="7">
        <item x="0"/>
        <item x="4"/>
        <item x="3"/>
        <item x="2"/>
        <item x="1"/>
        <item x="5"/>
        <item t="default"/>
      </items>
    </pivotField>
  </pivotFields>
  <rowFields count="1">
    <field x="6"/>
  </rowFields>
  <rowItems count="7">
    <i>
      <x/>
    </i>
    <i>
      <x v="1"/>
    </i>
    <i>
      <x v="2"/>
    </i>
    <i>
      <x v="3"/>
    </i>
    <i>
      <x v="4"/>
    </i>
    <i>
      <x v="5"/>
    </i>
    <i t="grand">
      <x/>
    </i>
  </rowItems>
  <colFields count="1">
    <field x="3"/>
  </colFields>
  <colItems count="3">
    <i>
      <x/>
    </i>
    <i>
      <x v="1"/>
    </i>
    <i t="grand">
      <x/>
    </i>
  </colItems>
  <dataFields count="1">
    <dataField name="Sum of AMOUNT(Rs)" fld="5" baseField="0" baseItem="0" numFmtId="167"/>
  </dataFields>
  <formats count="1">
    <format dxfId="2">
      <pivotArea outline="0" collapsedLevelsAreSubtotals="1" fieldPosition="0"/>
    </format>
  </formats>
  <chartFormats count="9">
    <chartFormat chart="29" format="4" series="1">
      <pivotArea type="data" outline="0" fieldPosition="0">
        <references count="2">
          <reference field="4294967294" count="1" selected="0">
            <x v="0"/>
          </reference>
          <reference field="3" count="1" selected="0">
            <x v="0"/>
          </reference>
        </references>
      </pivotArea>
    </chartFormat>
    <chartFormat chart="29" format="5" series="1">
      <pivotArea type="data" outline="0" fieldPosition="0">
        <references count="2">
          <reference field="4294967294" count="1" selected="0">
            <x v="0"/>
          </reference>
          <reference field="3" count="1" selected="0">
            <x v="1"/>
          </reference>
        </references>
      </pivotArea>
    </chartFormat>
    <chartFormat chart="30" format="6" series="1">
      <pivotArea type="data" outline="0" fieldPosition="0">
        <references count="2">
          <reference field="4294967294" count="1" selected="0">
            <x v="0"/>
          </reference>
          <reference field="3" count="1" selected="0">
            <x v="0"/>
          </reference>
        </references>
      </pivotArea>
    </chartFormat>
    <chartFormat chart="30" format="7" series="1">
      <pivotArea type="data" outline="0" fieldPosition="0">
        <references count="2">
          <reference field="4294967294" count="1" selected="0">
            <x v="0"/>
          </reference>
          <reference field="3" count="1" selected="0">
            <x v="1"/>
          </reference>
        </references>
      </pivotArea>
    </chartFormat>
    <chartFormat chart="30" format="8">
      <pivotArea type="data" outline="0" fieldPosition="0">
        <references count="3">
          <reference field="4294967294" count="1" selected="0">
            <x v="0"/>
          </reference>
          <reference field="3" count="1" selected="0">
            <x v="0"/>
          </reference>
          <reference field="6" count="1" selected="0">
            <x v="1"/>
          </reference>
        </references>
      </pivotArea>
    </chartFormat>
    <chartFormat chart="30" format="9">
      <pivotArea type="data" outline="0" fieldPosition="0">
        <references count="3">
          <reference field="4294967294" count="1" selected="0">
            <x v="0"/>
          </reference>
          <reference field="3" count="1" selected="0">
            <x v="1"/>
          </reference>
          <reference field="6" count="1" selected="0">
            <x v="1"/>
          </reference>
        </references>
      </pivotArea>
    </chartFormat>
    <chartFormat chart="30" format="10">
      <pivotArea type="data" outline="0" fieldPosition="0">
        <references count="3">
          <reference field="4294967294" count="1" selected="0">
            <x v="0"/>
          </reference>
          <reference field="3" count="1" selected="0">
            <x v="1"/>
          </reference>
          <reference field="6" count="1" selected="0">
            <x v="2"/>
          </reference>
        </references>
      </pivotArea>
    </chartFormat>
    <chartFormat chart="34" format="4" series="1">
      <pivotArea type="data" outline="0" fieldPosition="0">
        <references count="2">
          <reference field="4294967294" count="1" selected="0">
            <x v="0"/>
          </reference>
          <reference field="3" count="1" selected="0">
            <x v="0"/>
          </reference>
        </references>
      </pivotArea>
    </chartFormat>
    <chartFormat chart="3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C685D5-5ADC-4F9D-9759-9411904400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Category ">
  <location ref="A3:B13" firstHeaderRow="1" firstDataRow="1" firstDataCol="1" rowPageCount="1" colPageCount="1"/>
  <pivotFields count="7">
    <pivotField showAll="0"/>
    <pivotField numFmtId="164" showAll="0"/>
    <pivotField axis="axisRow" showAll="0">
      <items count="10">
        <item x="3"/>
        <item x="4"/>
        <item x="1"/>
        <item x="0"/>
        <item x="5"/>
        <item x="7"/>
        <item x="2"/>
        <item x="8"/>
        <item x="6"/>
        <item t="default"/>
      </items>
    </pivotField>
    <pivotField axis="axisPage" multipleItemSelectionAllowed="1" showAll="0">
      <items count="3">
        <item x="1"/>
        <item x="0"/>
        <item t="default"/>
      </items>
    </pivotField>
    <pivotField showAll="0"/>
    <pivotField dataField="1" showAll="0"/>
    <pivotField showAll="0">
      <items count="7">
        <item x="0"/>
        <item x="4"/>
        <item x="3"/>
        <item x="2"/>
        <item x="1"/>
        <item x="5"/>
        <item t="default"/>
      </items>
    </pivotField>
  </pivotFields>
  <rowFields count="1">
    <field x="2"/>
  </rowFields>
  <rowItems count="10">
    <i>
      <x/>
    </i>
    <i>
      <x v="1"/>
    </i>
    <i>
      <x v="2"/>
    </i>
    <i>
      <x v="3"/>
    </i>
    <i>
      <x v="4"/>
    </i>
    <i>
      <x v="5"/>
    </i>
    <i>
      <x v="6"/>
    </i>
    <i>
      <x v="7"/>
    </i>
    <i>
      <x v="8"/>
    </i>
    <i t="grand">
      <x/>
    </i>
  </rowItems>
  <colItems count="1">
    <i/>
  </colItems>
  <pageFields count="1">
    <pageField fld="3" hier="-1"/>
  </pageFields>
  <dataFields count="1">
    <dataField name="Sum of AMOUNT(Rs)" fld="5" baseField="0" baseItem="0" numFmtId="166"/>
  </dataFields>
  <formats count="1">
    <format dxfId="1">
      <pivotArea outline="0" collapsedLevelsAreSubtotals="1" fieldPosition="0"/>
    </format>
  </formats>
  <chartFormats count="19">
    <chartFormat chart="16" format="29" series="1">
      <pivotArea type="data" outline="0" fieldPosition="0">
        <references count="1">
          <reference field="4294967294" count="1" selected="0">
            <x v="0"/>
          </reference>
        </references>
      </pivotArea>
    </chartFormat>
    <chartFormat chart="16" format="30">
      <pivotArea type="data" outline="0" fieldPosition="0">
        <references count="2">
          <reference field="4294967294" count="1" selected="0">
            <x v="0"/>
          </reference>
          <reference field="2" count="1" selected="0">
            <x v="0"/>
          </reference>
        </references>
      </pivotArea>
    </chartFormat>
    <chartFormat chart="16" format="31">
      <pivotArea type="data" outline="0" fieldPosition="0">
        <references count="2">
          <reference field="4294967294" count="1" selected="0">
            <x v="0"/>
          </reference>
          <reference field="2" count="1" selected="0">
            <x v="1"/>
          </reference>
        </references>
      </pivotArea>
    </chartFormat>
    <chartFormat chart="16" format="32">
      <pivotArea type="data" outline="0" fieldPosition="0">
        <references count="2">
          <reference field="4294967294" count="1" selected="0">
            <x v="0"/>
          </reference>
          <reference field="2" count="1" selected="0">
            <x v="2"/>
          </reference>
        </references>
      </pivotArea>
    </chartFormat>
    <chartFormat chart="16" format="33">
      <pivotArea type="data" outline="0" fieldPosition="0">
        <references count="2">
          <reference field="4294967294" count="1" selected="0">
            <x v="0"/>
          </reference>
          <reference field="2" count="1" selected="0">
            <x v="4"/>
          </reference>
        </references>
      </pivotArea>
    </chartFormat>
    <chartFormat chart="16" format="34">
      <pivotArea type="data" outline="0" fieldPosition="0">
        <references count="2">
          <reference field="4294967294" count="1" selected="0">
            <x v="0"/>
          </reference>
          <reference field="2" count="1" selected="0">
            <x v="5"/>
          </reference>
        </references>
      </pivotArea>
    </chartFormat>
    <chartFormat chart="16" format="35">
      <pivotArea type="data" outline="0" fieldPosition="0">
        <references count="2">
          <reference field="4294967294" count="1" selected="0">
            <x v="0"/>
          </reference>
          <reference field="2" count="1" selected="0">
            <x v="6"/>
          </reference>
        </references>
      </pivotArea>
    </chartFormat>
    <chartFormat chart="16" format="36">
      <pivotArea type="data" outline="0" fieldPosition="0">
        <references count="2">
          <reference field="4294967294" count="1" selected="0">
            <x v="0"/>
          </reference>
          <reference field="2" count="1" selected="0">
            <x v="7"/>
          </reference>
        </references>
      </pivotArea>
    </chartFormat>
    <chartFormat chart="16" format="37">
      <pivotArea type="data" outline="0" fieldPosition="0">
        <references count="2">
          <reference field="4294967294" count="1" selected="0">
            <x v="0"/>
          </reference>
          <reference field="2" count="1" selected="0">
            <x v="8"/>
          </reference>
        </references>
      </pivotArea>
    </chartFormat>
    <chartFormat chart="20" format="20" series="1">
      <pivotArea type="data" outline="0" fieldPosition="0">
        <references count="1">
          <reference field="4294967294" count="1" selected="0">
            <x v="0"/>
          </reference>
        </references>
      </pivotArea>
    </chartFormat>
    <chartFormat chart="20" format="21">
      <pivotArea type="data" outline="0" fieldPosition="0">
        <references count="2">
          <reference field="4294967294" count="1" selected="0">
            <x v="0"/>
          </reference>
          <reference field="2" count="1" selected="0">
            <x v="0"/>
          </reference>
        </references>
      </pivotArea>
    </chartFormat>
    <chartFormat chart="20" format="22">
      <pivotArea type="data" outline="0" fieldPosition="0">
        <references count="2">
          <reference field="4294967294" count="1" selected="0">
            <x v="0"/>
          </reference>
          <reference field="2" count="1" selected="0">
            <x v="1"/>
          </reference>
        </references>
      </pivotArea>
    </chartFormat>
    <chartFormat chart="20" format="23">
      <pivotArea type="data" outline="0" fieldPosition="0">
        <references count="2">
          <reference field="4294967294" count="1" selected="0">
            <x v="0"/>
          </reference>
          <reference field="2" count="1" selected="0">
            <x v="2"/>
          </reference>
        </references>
      </pivotArea>
    </chartFormat>
    <chartFormat chart="20" format="24">
      <pivotArea type="data" outline="0" fieldPosition="0">
        <references count="2">
          <reference field="4294967294" count="1" selected="0">
            <x v="0"/>
          </reference>
          <reference field="2" count="1" selected="0">
            <x v="4"/>
          </reference>
        </references>
      </pivotArea>
    </chartFormat>
    <chartFormat chart="20" format="25">
      <pivotArea type="data" outline="0" fieldPosition="0">
        <references count="2">
          <reference field="4294967294" count="1" selected="0">
            <x v="0"/>
          </reference>
          <reference field="2" count="1" selected="0">
            <x v="5"/>
          </reference>
        </references>
      </pivotArea>
    </chartFormat>
    <chartFormat chart="20" format="26">
      <pivotArea type="data" outline="0" fieldPosition="0">
        <references count="2">
          <reference field="4294967294" count="1" selected="0">
            <x v="0"/>
          </reference>
          <reference field="2" count="1" selected="0">
            <x v="6"/>
          </reference>
        </references>
      </pivotArea>
    </chartFormat>
    <chartFormat chart="20" format="27">
      <pivotArea type="data" outline="0" fieldPosition="0">
        <references count="2">
          <reference field="4294967294" count="1" selected="0">
            <x v="0"/>
          </reference>
          <reference field="2" count="1" selected="0">
            <x v="7"/>
          </reference>
        </references>
      </pivotArea>
    </chartFormat>
    <chartFormat chart="20" format="28">
      <pivotArea type="data" outline="0" fieldPosition="0">
        <references count="2">
          <reference field="4294967294" count="1" selected="0">
            <x v="0"/>
          </reference>
          <reference field="2" count="1" selected="0">
            <x v="8"/>
          </reference>
        </references>
      </pivotArea>
    </chartFormat>
    <chartFormat chart="16" format="38">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3EDFA5-4FB8-4618-926D-9CAED633F1F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ategory">
  <location ref="A3:B13" firstHeaderRow="1" firstDataRow="1" firstDataCol="1"/>
  <pivotFields count="7">
    <pivotField showAll="0"/>
    <pivotField numFmtId="164" showAll="0"/>
    <pivotField axis="axisRow" dataField="1" showAll="0">
      <items count="10">
        <item x="3"/>
        <item x="4"/>
        <item x="1"/>
        <item x="0"/>
        <item x="5"/>
        <item x="7"/>
        <item x="2"/>
        <item x="8"/>
        <item x="6"/>
        <item t="default"/>
      </items>
    </pivotField>
    <pivotField showAll="0">
      <items count="3">
        <item x="1"/>
        <item x="0"/>
        <item t="default"/>
      </items>
    </pivotField>
    <pivotField showAll="0"/>
    <pivotField showAll="0"/>
    <pivotField showAll="0">
      <items count="7">
        <item x="0"/>
        <item x="4"/>
        <item x="3"/>
        <item x="2"/>
        <item x="1"/>
        <item x="5"/>
        <item t="default"/>
      </items>
    </pivotField>
  </pivotFields>
  <rowFields count="1">
    <field x="2"/>
  </rowFields>
  <rowItems count="10">
    <i>
      <x/>
    </i>
    <i>
      <x v="1"/>
    </i>
    <i>
      <x v="2"/>
    </i>
    <i>
      <x v="3"/>
    </i>
    <i>
      <x v="4"/>
    </i>
    <i>
      <x v="5"/>
    </i>
    <i>
      <x v="6"/>
    </i>
    <i>
      <x v="7"/>
    </i>
    <i>
      <x v="8"/>
    </i>
    <i t="grand">
      <x/>
    </i>
  </rowItems>
  <colItems count="1">
    <i/>
  </colItems>
  <dataFields count="1">
    <dataField name="Count " fld="2" subtotal="count" baseField="0" baseItem="0"/>
  </dataFields>
  <chartFormats count="12">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2" count="1" selected="0">
            <x v="7"/>
          </reference>
        </references>
      </pivotArea>
    </chartFormat>
    <chartFormat chart="4" format="5">
      <pivotArea type="data" outline="0" fieldPosition="0">
        <references count="2">
          <reference field="4294967294" count="1" selected="0">
            <x v="0"/>
          </reference>
          <reference field="2" count="1" selected="0">
            <x v="8"/>
          </reference>
        </references>
      </pivotArea>
    </chartFormat>
    <chartFormat chart="4" format="6">
      <pivotArea type="data" outline="0" fieldPosition="0">
        <references count="2">
          <reference field="4294967294" count="1" selected="0">
            <x v="0"/>
          </reference>
          <reference field="2" count="1" selected="0">
            <x v="6"/>
          </reference>
        </references>
      </pivotArea>
    </chartFormat>
    <chartFormat chart="4" format="7">
      <pivotArea type="data" outline="0" fieldPosition="0">
        <references count="2">
          <reference field="4294967294" count="1" selected="0">
            <x v="0"/>
          </reference>
          <reference field="2" count="1" selected="0">
            <x v="5"/>
          </reference>
        </references>
      </pivotArea>
    </chartFormat>
    <chartFormat chart="4" format="8">
      <pivotArea type="data" outline="0" fieldPosition="0">
        <references count="2">
          <reference field="4294967294" count="1" selected="0">
            <x v="0"/>
          </reference>
          <reference field="2" count="1" selected="0">
            <x v="4"/>
          </reference>
        </references>
      </pivotArea>
    </chartFormat>
    <chartFormat chart="4" format="9">
      <pivotArea type="data" outline="0" fieldPosition="0">
        <references count="2">
          <reference field="4294967294" count="1" selected="0">
            <x v="0"/>
          </reference>
          <reference field="2" count="1" selected="0">
            <x v="3"/>
          </reference>
        </references>
      </pivotArea>
    </chartFormat>
    <chartFormat chart="4" format="10">
      <pivotArea type="data" outline="0" fieldPosition="0">
        <references count="2">
          <reference field="4294967294" count="1" selected="0">
            <x v="0"/>
          </reference>
          <reference field="2" count="1" selected="0">
            <x v="2"/>
          </reference>
        </references>
      </pivotArea>
    </chartFormat>
    <chartFormat chart="4" format="11">
      <pivotArea type="data" outline="0" fieldPosition="0">
        <references count="2">
          <reference field="4294967294" count="1" selected="0">
            <x v="0"/>
          </reference>
          <reference field="2" count="1" selected="0">
            <x v="1"/>
          </reference>
        </references>
      </pivotArea>
    </chartFormat>
    <chartFormat chart="4" format="12">
      <pivotArea type="data" outline="0" fieldPosition="0">
        <references count="2">
          <reference field="4294967294" count="1" selected="0">
            <x v="0"/>
          </reference>
          <reference field="2"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2552143-E406-44FC-A360-E91806C2C3C3}" sourceName="CATEGORY">
  <pivotTables>
    <pivotTable tabId="4" name="PivotTable2"/>
    <pivotTable tabId="3" name="PivotTable1"/>
    <pivotTable tabId="6" name="PivotTable1"/>
  </pivotTables>
  <data>
    <tabular pivotCacheId="304165560">
      <items count="9">
        <i x="3" s="1"/>
        <i x="4" s="1"/>
        <i x="1" s="1"/>
        <i x="0" s="1"/>
        <i x="5" s="1"/>
        <i x="7" s="1"/>
        <i x="2" s="1"/>
        <i x="8"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B1B07D72-8893-4326-8AC3-303F4403D245}" sourceName="TYPE">
  <pivotTables>
    <pivotTable tabId="4" name="PivotTable2"/>
    <pivotTable tabId="3" name="PivotTable1"/>
    <pivotTable tabId="6" name="PivotTable1"/>
  </pivotTables>
  <data>
    <tabular pivotCacheId="30416556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CA00BE9-C7DD-4F87-BA2D-6A2BE4D07CCF}" sourceName="MONTH">
  <pivotTables>
    <pivotTable tabId="4" name="PivotTable2"/>
    <pivotTable tabId="3" name="PivotTable1"/>
    <pivotTable tabId="6" name="PivotTable1"/>
  </pivotTables>
  <data>
    <tabular pivotCacheId="304165560">
      <items count="6">
        <i x="0" s="1"/>
        <i x="4" s="1"/>
        <i x="3" s="1"/>
        <i x="2"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669F690-6DCD-4129-AFDF-F8B14AF3C202}" cache="Slicer_CATEGORY" caption="CATEGORY" style="SlicerStyleLight2" rowHeight="234950"/>
  <slicer name="TYPE" xr10:uid="{B3F6CD59-5E8A-4CF3-8F67-E4CBC586A696}" cache="Slicer_TYPE" caption="TYPE" style="SlicerStyleLight6" rowHeight="234950"/>
  <slicer name="MONTH" xr10:uid="{05698CF5-1D0D-44D1-B2EE-7167D4C0E4C4}" cache="Slicer_MONTH" caption="MONTH"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00269F-A9BF-42F2-A5E9-9FECAD1BDF7B}" name="Table1" displayName="Table1" ref="A1:G301" totalsRowShown="0" tableBorderDxfId="10">
  <autoFilter ref="A1:G301" xr:uid="{E600269F-A9BF-42F2-A5E9-9FECAD1BDF7B}"/>
  <tableColumns count="7">
    <tableColumn id="1" xr3:uid="{DE08F4B4-87C0-4AC2-A9B9-8EF04EC80F90}" name="S.NO" dataDxfId="9"/>
    <tableColumn id="2" xr3:uid="{71F1C1C3-45C3-4EA0-A651-7694E67006B3}" name="DATE" dataDxfId="8"/>
    <tableColumn id="3" xr3:uid="{D94F60CC-47EC-47E7-AAD0-74B6157351D5}" name="CATEGORY" dataDxfId="7"/>
    <tableColumn id="4" xr3:uid="{9F7A1C8D-5160-4337-9A4C-B23CDE84BB44}" name="TYPE" dataDxfId="6"/>
    <tableColumn id="5" xr3:uid="{9FFB0F39-9EEC-4B4A-868C-4D4FD2F67127}" name="DESCRIPTION " dataDxfId="5"/>
    <tableColumn id="6" xr3:uid="{1751D3EF-F51D-4D92-8C3F-879A165F410F}" name="AMOUNT(Rs)" dataDxfId="4"/>
    <tableColumn id="7" xr3:uid="{DF1C652D-0C26-4D0F-A6B4-AF3A54DC748A}" name="MONTH" dataDxfId="3">
      <calculatedColumnFormula>TEXT(B2,"mmm-yyyy")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E86F0-C89B-4174-83B2-0BB3453DFF63}">
  <dimension ref="A1:G302"/>
  <sheetViews>
    <sheetView workbookViewId="0">
      <selection sqref="A1:G301"/>
    </sheetView>
  </sheetViews>
  <sheetFormatPr defaultRowHeight="14.4" x14ac:dyDescent="0.3"/>
  <cols>
    <col min="2" max="2" width="18.21875" customWidth="1"/>
    <col min="3" max="3" width="17.77734375" customWidth="1"/>
    <col min="5" max="5" width="23.21875" customWidth="1"/>
    <col min="6" max="6" width="14.109375" customWidth="1"/>
    <col min="7" max="7" width="14.33203125" customWidth="1"/>
  </cols>
  <sheetData>
    <row r="1" spans="1:7" ht="30" customHeight="1" x14ac:dyDescent="0.3">
      <c r="A1" t="s">
        <v>27</v>
      </c>
      <c r="B1" t="s">
        <v>28</v>
      </c>
      <c r="C1" t="s">
        <v>29</v>
      </c>
      <c r="D1" t="s">
        <v>30</v>
      </c>
      <c r="E1" t="s">
        <v>31</v>
      </c>
      <c r="F1" t="s">
        <v>32</v>
      </c>
      <c r="G1" t="s">
        <v>33</v>
      </c>
    </row>
    <row r="2" spans="1:7" x14ac:dyDescent="0.3">
      <c r="A2" s="1">
        <v>1</v>
      </c>
      <c r="B2" s="2">
        <v>46121</v>
      </c>
      <c r="C2" s="1" t="s">
        <v>0</v>
      </c>
      <c r="D2" s="3" t="s">
        <v>0</v>
      </c>
      <c r="E2" s="4" t="s">
        <v>1</v>
      </c>
      <c r="F2" s="5">
        <v>6501</v>
      </c>
      <c r="G2" s="1" t="str">
        <f t="shared" ref="G2:G65" si="0">TEXT(B2,"mmm-yyyy")</f>
        <v>Apr-2026</v>
      </c>
    </row>
    <row r="3" spans="1:7" x14ac:dyDescent="0.3">
      <c r="A3" s="6">
        <v>2</v>
      </c>
      <c r="B3" s="2">
        <v>46120</v>
      </c>
      <c r="C3" s="6" t="s">
        <v>0</v>
      </c>
      <c r="D3" s="3" t="s">
        <v>0</v>
      </c>
      <c r="E3" s="7" t="s">
        <v>2</v>
      </c>
      <c r="F3" s="5">
        <v>1785</v>
      </c>
      <c r="G3" s="6" t="str">
        <f t="shared" si="0"/>
        <v>Apr-2026</v>
      </c>
    </row>
    <row r="4" spans="1:7" x14ac:dyDescent="0.3">
      <c r="A4" s="1">
        <v>3</v>
      </c>
      <c r="B4" s="2">
        <v>46132</v>
      </c>
      <c r="C4" s="1" t="s">
        <v>3</v>
      </c>
      <c r="D4" s="8" t="s">
        <v>4</v>
      </c>
      <c r="E4" s="4" t="s">
        <v>5</v>
      </c>
      <c r="F4" s="5">
        <v>827</v>
      </c>
      <c r="G4" s="1" t="str">
        <f t="shared" si="0"/>
        <v>Apr-2026</v>
      </c>
    </row>
    <row r="5" spans="1:7" x14ac:dyDescent="0.3">
      <c r="A5" s="6">
        <v>4</v>
      </c>
      <c r="B5" s="2">
        <v>46130</v>
      </c>
      <c r="C5" s="6" t="s">
        <v>6</v>
      </c>
      <c r="D5" s="8" t="s">
        <v>4</v>
      </c>
      <c r="E5" s="7" t="s">
        <v>7</v>
      </c>
      <c r="F5" s="5">
        <v>803</v>
      </c>
      <c r="G5" s="6" t="str">
        <f t="shared" si="0"/>
        <v>Apr-2026</v>
      </c>
    </row>
    <row r="6" spans="1:7" x14ac:dyDescent="0.3">
      <c r="A6" s="1">
        <v>5</v>
      </c>
      <c r="B6" s="2">
        <v>46135</v>
      </c>
      <c r="C6" s="1" t="s">
        <v>8</v>
      </c>
      <c r="D6" s="8" t="s">
        <v>4</v>
      </c>
      <c r="E6" s="4" t="s">
        <v>9</v>
      </c>
      <c r="F6" s="5">
        <v>632</v>
      </c>
      <c r="G6" s="1" t="str">
        <f t="shared" si="0"/>
        <v>Apr-2026</v>
      </c>
    </row>
    <row r="7" spans="1:7" x14ac:dyDescent="0.3">
      <c r="A7" s="6">
        <v>6</v>
      </c>
      <c r="B7" s="2">
        <v>46135</v>
      </c>
      <c r="C7" s="6" t="s">
        <v>10</v>
      </c>
      <c r="D7" s="8" t="s">
        <v>4</v>
      </c>
      <c r="E7" s="7" t="s">
        <v>11</v>
      </c>
      <c r="F7" s="5">
        <v>479</v>
      </c>
      <c r="G7" s="6" t="str">
        <f t="shared" si="0"/>
        <v>Apr-2026</v>
      </c>
    </row>
    <row r="8" spans="1:7" x14ac:dyDescent="0.3">
      <c r="A8" s="1">
        <v>7</v>
      </c>
      <c r="B8" s="2">
        <v>46126</v>
      </c>
      <c r="C8" s="1" t="s">
        <v>12</v>
      </c>
      <c r="D8" s="8" t="s">
        <v>4</v>
      </c>
      <c r="E8" s="4" t="s">
        <v>12</v>
      </c>
      <c r="F8" s="5">
        <v>312</v>
      </c>
      <c r="G8" s="1" t="str">
        <f t="shared" si="0"/>
        <v>Apr-2026</v>
      </c>
    </row>
    <row r="9" spans="1:7" x14ac:dyDescent="0.3">
      <c r="A9" s="6">
        <v>8</v>
      </c>
      <c r="B9" s="2">
        <v>46127</v>
      </c>
      <c r="C9" s="6" t="s">
        <v>13</v>
      </c>
      <c r="D9" s="8" t="s">
        <v>4</v>
      </c>
      <c r="E9" s="7" t="s">
        <v>14</v>
      </c>
      <c r="F9" s="5">
        <v>801</v>
      </c>
      <c r="G9" s="6" t="str">
        <f t="shared" si="0"/>
        <v>Apr-2026</v>
      </c>
    </row>
    <row r="10" spans="1:7" x14ac:dyDescent="0.3">
      <c r="A10" s="1">
        <v>9</v>
      </c>
      <c r="B10" s="2">
        <v>46121</v>
      </c>
      <c r="C10" s="1" t="s">
        <v>15</v>
      </c>
      <c r="D10" s="8" t="s">
        <v>4</v>
      </c>
      <c r="E10" s="4" t="s">
        <v>16</v>
      </c>
      <c r="F10" s="5">
        <v>3914</v>
      </c>
      <c r="G10" s="1" t="str">
        <f t="shared" si="0"/>
        <v>Apr-2026</v>
      </c>
    </row>
    <row r="11" spans="1:7" x14ac:dyDescent="0.3">
      <c r="A11" s="6">
        <v>10</v>
      </c>
      <c r="B11" s="2">
        <v>46140</v>
      </c>
      <c r="C11" s="6" t="s">
        <v>13</v>
      </c>
      <c r="D11" s="8" t="s">
        <v>4</v>
      </c>
      <c r="E11" s="7" t="s">
        <v>17</v>
      </c>
      <c r="F11" s="5">
        <v>401</v>
      </c>
      <c r="G11" s="6" t="str">
        <f t="shared" si="0"/>
        <v>Apr-2026</v>
      </c>
    </row>
    <row r="12" spans="1:7" x14ac:dyDescent="0.3">
      <c r="A12" s="1">
        <v>11</v>
      </c>
      <c r="B12" s="2">
        <v>46137</v>
      </c>
      <c r="C12" s="1" t="s">
        <v>8</v>
      </c>
      <c r="D12" s="8" t="s">
        <v>4</v>
      </c>
      <c r="E12" s="4" t="s">
        <v>18</v>
      </c>
      <c r="F12" s="5">
        <v>1325</v>
      </c>
      <c r="G12" s="1" t="str">
        <f t="shared" si="0"/>
        <v>Apr-2026</v>
      </c>
    </row>
    <row r="13" spans="1:7" x14ac:dyDescent="0.3">
      <c r="A13" s="6">
        <v>12</v>
      </c>
      <c r="B13" s="2">
        <v>46118</v>
      </c>
      <c r="C13" s="6" t="s">
        <v>10</v>
      </c>
      <c r="D13" s="8" t="s">
        <v>4</v>
      </c>
      <c r="E13" s="7" t="s">
        <v>19</v>
      </c>
      <c r="F13" s="5">
        <v>757</v>
      </c>
      <c r="G13" s="6" t="str">
        <f t="shared" si="0"/>
        <v>Apr-2026</v>
      </c>
    </row>
    <row r="14" spans="1:7" x14ac:dyDescent="0.3">
      <c r="A14" s="1">
        <v>13</v>
      </c>
      <c r="B14" s="2">
        <v>46126</v>
      </c>
      <c r="C14" s="1" t="s">
        <v>20</v>
      </c>
      <c r="D14" s="8" t="s">
        <v>4</v>
      </c>
      <c r="E14" s="4" t="s">
        <v>21</v>
      </c>
      <c r="F14" s="5">
        <v>574</v>
      </c>
      <c r="G14" s="1" t="str">
        <f t="shared" si="0"/>
        <v>Apr-2026</v>
      </c>
    </row>
    <row r="15" spans="1:7" x14ac:dyDescent="0.3">
      <c r="A15" s="6">
        <v>14</v>
      </c>
      <c r="B15" s="2">
        <v>46121</v>
      </c>
      <c r="C15" s="6" t="s">
        <v>3</v>
      </c>
      <c r="D15" s="8" t="s">
        <v>4</v>
      </c>
      <c r="E15" s="7" t="s">
        <v>22</v>
      </c>
      <c r="F15" s="5">
        <v>759</v>
      </c>
      <c r="G15" s="6" t="str">
        <f t="shared" si="0"/>
        <v>Apr-2026</v>
      </c>
    </row>
    <row r="16" spans="1:7" x14ac:dyDescent="0.3">
      <c r="A16" s="1">
        <v>15</v>
      </c>
      <c r="B16" s="2">
        <v>46145</v>
      </c>
      <c r="C16" s="1" t="s">
        <v>0</v>
      </c>
      <c r="D16" s="3" t="s">
        <v>0</v>
      </c>
      <c r="E16" s="4" t="s">
        <v>2</v>
      </c>
      <c r="F16" s="5">
        <v>2278</v>
      </c>
      <c r="G16" s="1" t="str">
        <f t="shared" si="0"/>
        <v>May-2026</v>
      </c>
    </row>
    <row r="17" spans="1:7" x14ac:dyDescent="0.3">
      <c r="A17" s="6">
        <v>16</v>
      </c>
      <c r="B17" s="2">
        <v>46146</v>
      </c>
      <c r="C17" s="6" t="s">
        <v>0</v>
      </c>
      <c r="D17" s="3" t="s">
        <v>0</v>
      </c>
      <c r="E17" s="7" t="s">
        <v>1</v>
      </c>
      <c r="F17" s="5">
        <v>6735</v>
      </c>
      <c r="G17" s="6" t="str">
        <f t="shared" si="0"/>
        <v>May-2026</v>
      </c>
    </row>
    <row r="18" spans="1:7" x14ac:dyDescent="0.3">
      <c r="A18" s="1">
        <v>17</v>
      </c>
      <c r="B18" s="2">
        <v>46161</v>
      </c>
      <c r="C18" s="1" t="s">
        <v>10</v>
      </c>
      <c r="D18" s="8" t="s">
        <v>4</v>
      </c>
      <c r="E18" s="4" t="s">
        <v>19</v>
      </c>
      <c r="F18" s="5">
        <v>498</v>
      </c>
      <c r="G18" s="1" t="str">
        <f t="shared" si="0"/>
        <v>May-2026</v>
      </c>
    </row>
    <row r="19" spans="1:7" x14ac:dyDescent="0.3">
      <c r="A19" s="6">
        <v>18</v>
      </c>
      <c r="B19" s="2">
        <v>46165</v>
      </c>
      <c r="C19" s="6" t="s">
        <v>20</v>
      </c>
      <c r="D19" s="8" t="s">
        <v>4</v>
      </c>
      <c r="E19" s="7" t="s">
        <v>21</v>
      </c>
      <c r="F19" s="5">
        <v>435</v>
      </c>
      <c r="G19" s="6" t="str">
        <f t="shared" si="0"/>
        <v>May-2026</v>
      </c>
    </row>
    <row r="20" spans="1:7" x14ac:dyDescent="0.3">
      <c r="A20" s="1">
        <v>19</v>
      </c>
      <c r="B20" s="2">
        <v>46144</v>
      </c>
      <c r="C20" s="1" t="s">
        <v>15</v>
      </c>
      <c r="D20" s="8" t="s">
        <v>4</v>
      </c>
      <c r="E20" s="4" t="s">
        <v>16</v>
      </c>
      <c r="F20" s="5">
        <v>3838</v>
      </c>
      <c r="G20" s="1" t="str">
        <f t="shared" si="0"/>
        <v>May-2026</v>
      </c>
    </row>
    <row r="21" spans="1:7" x14ac:dyDescent="0.3">
      <c r="A21" s="6">
        <v>20</v>
      </c>
      <c r="B21" s="2">
        <v>46150</v>
      </c>
      <c r="C21" s="6" t="s">
        <v>13</v>
      </c>
      <c r="D21" s="8" t="s">
        <v>4</v>
      </c>
      <c r="E21" s="7" t="s">
        <v>17</v>
      </c>
      <c r="F21" s="5">
        <v>597</v>
      </c>
      <c r="G21" s="6" t="str">
        <f t="shared" si="0"/>
        <v>May-2026</v>
      </c>
    </row>
    <row r="22" spans="1:7" x14ac:dyDescent="0.3">
      <c r="A22" s="1">
        <v>21</v>
      </c>
      <c r="B22" s="2">
        <v>46152</v>
      </c>
      <c r="C22" s="1" t="s">
        <v>10</v>
      </c>
      <c r="D22" s="8" t="s">
        <v>4</v>
      </c>
      <c r="E22" s="4" t="s">
        <v>11</v>
      </c>
      <c r="F22" s="5">
        <v>240</v>
      </c>
      <c r="G22" s="1" t="str">
        <f t="shared" si="0"/>
        <v>May-2026</v>
      </c>
    </row>
    <row r="23" spans="1:7" x14ac:dyDescent="0.3">
      <c r="A23" s="6">
        <v>22</v>
      </c>
      <c r="B23" s="2">
        <v>46170</v>
      </c>
      <c r="C23" s="6" t="s">
        <v>3</v>
      </c>
      <c r="D23" s="8" t="s">
        <v>4</v>
      </c>
      <c r="E23" s="7" t="s">
        <v>5</v>
      </c>
      <c r="F23" s="5">
        <v>1038</v>
      </c>
      <c r="G23" s="6" t="str">
        <f t="shared" si="0"/>
        <v>May-2026</v>
      </c>
    </row>
    <row r="24" spans="1:7" x14ac:dyDescent="0.3">
      <c r="A24" s="1">
        <v>23</v>
      </c>
      <c r="B24" s="2">
        <v>46170</v>
      </c>
      <c r="C24" s="1" t="s">
        <v>13</v>
      </c>
      <c r="D24" s="8" t="s">
        <v>4</v>
      </c>
      <c r="E24" s="4" t="s">
        <v>14</v>
      </c>
      <c r="F24" s="5">
        <v>551</v>
      </c>
      <c r="G24" s="1" t="str">
        <f t="shared" si="0"/>
        <v>May-2026</v>
      </c>
    </row>
    <row r="25" spans="1:7" x14ac:dyDescent="0.3">
      <c r="A25" s="6">
        <v>24</v>
      </c>
      <c r="B25" s="2">
        <v>46155</v>
      </c>
      <c r="C25" s="6" t="s">
        <v>8</v>
      </c>
      <c r="D25" s="8" t="s">
        <v>4</v>
      </c>
      <c r="E25" s="7" t="s">
        <v>9</v>
      </c>
      <c r="F25" s="5">
        <v>442</v>
      </c>
      <c r="G25" s="6" t="str">
        <f t="shared" si="0"/>
        <v>May-2026</v>
      </c>
    </row>
    <row r="26" spans="1:7" x14ac:dyDescent="0.3">
      <c r="A26" s="1">
        <v>25</v>
      </c>
      <c r="B26" s="2">
        <v>46157</v>
      </c>
      <c r="C26" s="1" t="s">
        <v>8</v>
      </c>
      <c r="D26" s="8" t="s">
        <v>4</v>
      </c>
      <c r="E26" s="4" t="s">
        <v>18</v>
      </c>
      <c r="F26" s="5">
        <v>1150</v>
      </c>
      <c r="G26" s="1" t="str">
        <f t="shared" si="0"/>
        <v>May-2026</v>
      </c>
    </row>
    <row r="27" spans="1:7" x14ac:dyDescent="0.3">
      <c r="A27" s="6">
        <v>26</v>
      </c>
      <c r="B27" s="2">
        <v>46169</v>
      </c>
      <c r="C27" s="6" t="s">
        <v>3</v>
      </c>
      <c r="D27" s="8" t="s">
        <v>4</v>
      </c>
      <c r="E27" s="7" t="s">
        <v>22</v>
      </c>
      <c r="F27" s="5">
        <v>973</v>
      </c>
      <c r="G27" s="6" t="str">
        <f t="shared" si="0"/>
        <v>May-2026</v>
      </c>
    </row>
    <row r="28" spans="1:7" x14ac:dyDescent="0.3">
      <c r="A28" s="1">
        <v>27</v>
      </c>
      <c r="B28" s="2">
        <v>46148</v>
      </c>
      <c r="C28" s="1" t="s">
        <v>13</v>
      </c>
      <c r="D28" s="8" t="s">
        <v>4</v>
      </c>
      <c r="E28" s="4" t="s">
        <v>23</v>
      </c>
      <c r="F28" s="5">
        <v>344</v>
      </c>
      <c r="G28" s="1" t="str">
        <f t="shared" si="0"/>
        <v>May-2026</v>
      </c>
    </row>
    <row r="29" spans="1:7" x14ac:dyDescent="0.3">
      <c r="A29" s="6">
        <v>28</v>
      </c>
      <c r="B29" s="2">
        <v>46196</v>
      </c>
      <c r="C29" s="6" t="s">
        <v>0</v>
      </c>
      <c r="D29" s="3" t="s">
        <v>0</v>
      </c>
      <c r="E29" s="7" t="s">
        <v>24</v>
      </c>
      <c r="F29" s="5">
        <v>5918</v>
      </c>
      <c r="G29" s="6" t="str">
        <f t="shared" si="0"/>
        <v>Jun-2026</v>
      </c>
    </row>
    <row r="30" spans="1:7" x14ac:dyDescent="0.3">
      <c r="A30" s="1">
        <v>29</v>
      </c>
      <c r="B30" s="2">
        <v>46195</v>
      </c>
      <c r="C30" s="1" t="s">
        <v>0</v>
      </c>
      <c r="D30" s="3" t="s">
        <v>0</v>
      </c>
      <c r="E30" s="4" t="s">
        <v>2</v>
      </c>
      <c r="F30" s="5">
        <v>2827</v>
      </c>
      <c r="G30" s="1" t="str">
        <f t="shared" si="0"/>
        <v>Jun-2026</v>
      </c>
    </row>
    <row r="31" spans="1:7" x14ac:dyDescent="0.3">
      <c r="A31" s="6">
        <v>30</v>
      </c>
      <c r="B31" s="2">
        <v>46176</v>
      </c>
      <c r="C31" s="6" t="s">
        <v>0</v>
      </c>
      <c r="D31" s="3" t="s">
        <v>0</v>
      </c>
      <c r="E31" s="7" t="s">
        <v>25</v>
      </c>
      <c r="F31" s="5">
        <v>2623</v>
      </c>
      <c r="G31" s="6" t="str">
        <f t="shared" si="0"/>
        <v>Jun-2026</v>
      </c>
    </row>
    <row r="32" spans="1:7" x14ac:dyDescent="0.3">
      <c r="A32" s="1">
        <v>31</v>
      </c>
      <c r="B32" s="2">
        <v>46184</v>
      </c>
      <c r="C32" s="1" t="s">
        <v>3</v>
      </c>
      <c r="D32" s="8" t="s">
        <v>4</v>
      </c>
      <c r="E32" s="4" t="s">
        <v>22</v>
      </c>
      <c r="F32" s="5">
        <v>657</v>
      </c>
      <c r="G32" s="1" t="str">
        <f t="shared" si="0"/>
        <v>Jun-2026</v>
      </c>
    </row>
    <row r="33" spans="1:7" x14ac:dyDescent="0.3">
      <c r="A33" s="6">
        <v>32</v>
      </c>
      <c r="B33" s="2">
        <v>46181</v>
      </c>
      <c r="C33" s="6" t="s">
        <v>10</v>
      </c>
      <c r="D33" s="8" t="s">
        <v>4</v>
      </c>
      <c r="E33" s="7" t="s">
        <v>11</v>
      </c>
      <c r="F33" s="5">
        <v>216</v>
      </c>
      <c r="G33" s="6" t="str">
        <f t="shared" si="0"/>
        <v>Jun-2026</v>
      </c>
    </row>
    <row r="34" spans="1:7" x14ac:dyDescent="0.3">
      <c r="A34" s="1">
        <v>33</v>
      </c>
      <c r="B34" s="2">
        <v>46199</v>
      </c>
      <c r="C34" s="1" t="s">
        <v>8</v>
      </c>
      <c r="D34" s="8" t="s">
        <v>4</v>
      </c>
      <c r="E34" s="4" t="s">
        <v>9</v>
      </c>
      <c r="F34" s="5">
        <v>461</v>
      </c>
      <c r="G34" s="1" t="str">
        <f t="shared" si="0"/>
        <v>Jun-2026</v>
      </c>
    </row>
    <row r="35" spans="1:7" x14ac:dyDescent="0.3">
      <c r="A35" s="6">
        <v>34</v>
      </c>
      <c r="B35" s="2">
        <v>46186</v>
      </c>
      <c r="C35" s="6" t="s">
        <v>20</v>
      </c>
      <c r="D35" s="8" t="s">
        <v>4</v>
      </c>
      <c r="E35" s="7" t="s">
        <v>26</v>
      </c>
      <c r="F35" s="5">
        <v>437</v>
      </c>
      <c r="G35" s="6" t="str">
        <f t="shared" si="0"/>
        <v>Jun-2026</v>
      </c>
    </row>
    <row r="36" spans="1:7" x14ac:dyDescent="0.3">
      <c r="A36" s="1">
        <v>35</v>
      </c>
      <c r="B36" s="2">
        <v>46176</v>
      </c>
      <c r="C36" s="1" t="s">
        <v>12</v>
      </c>
      <c r="D36" s="8" t="s">
        <v>4</v>
      </c>
      <c r="E36" s="4" t="s">
        <v>12</v>
      </c>
      <c r="F36" s="5">
        <v>308</v>
      </c>
      <c r="G36" s="1" t="str">
        <f t="shared" si="0"/>
        <v>Jun-2026</v>
      </c>
    </row>
    <row r="37" spans="1:7" x14ac:dyDescent="0.3">
      <c r="A37" s="6">
        <v>36</v>
      </c>
      <c r="B37" s="2">
        <v>46203</v>
      </c>
      <c r="C37" s="6" t="s">
        <v>13</v>
      </c>
      <c r="D37" s="8" t="s">
        <v>4</v>
      </c>
      <c r="E37" s="7" t="s">
        <v>17</v>
      </c>
      <c r="F37" s="5">
        <v>545</v>
      </c>
      <c r="G37" s="6" t="str">
        <f t="shared" si="0"/>
        <v>Jun-2026</v>
      </c>
    </row>
    <row r="38" spans="1:7" x14ac:dyDescent="0.3">
      <c r="A38" s="1">
        <v>37</v>
      </c>
      <c r="B38" s="2">
        <v>46202</v>
      </c>
      <c r="C38" s="1" t="s">
        <v>13</v>
      </c>
      <c r="D38" s="8" t="s">
        <v>4</v>
      </c>
      <c r="E38" s="4" t="s">
        <v>14</v>
      </c>
      <c r="F38" s="5">
        <v>867</v>
      </c>
      <c r="G38" s="1" t="str">
        <f t="shared" si="0"/>
        <v>Jun-2026</v>
      </c>
    </row>
    <row r="39" spans="1:7" x14ac:dyDescent="0.3">
      <c r="A39" s="6">
        <v>38</v>
      </c>
      <c r="B39" s="2">
        <v>46184</v>
      </c>
      <c r="C39" s="6" t="s">
        <v>10</v>
      </c>
      <c r="D39" s="8" t="s">
        <v>4</v>
      </c>
      <c r="E39" s="7" t="s">
        <v>19</v>
      </c>
      <c r="F39" s="5">
        <v>508</v>
      </c>
      <c r="G39" s="6" t="str">
        <f t="shared" si="0"/>
        <v>Jun-2026</v>
      </c>
    </row>
    <row r="40" spans="1:7" x14ac:dyDescent="0.3">
      <c r="A40" s="1">
        <v>39</v>
      </c>
      <c r="B40" s="2">
        <v>46194</v>
      </c>
      <c r="C40" s="1" t="s">
        <v>13</v>
      </c>
      <c r="D40" s="8" t="s">
        <v>4</v>
      </c>
      <c r="E40" s="4" t="s">
        <v>23</v>
      </c>
      <c r="F40" s="5">
        <v>377</v>
      </c>
      <c r="G40" s="1" t="str">
        <f t="shared" si="0"/>
        <v>Jun-2026</v>
      </c>
    </row>
    <row r="41" spans="1:7" x14ac:dyDescent="0.3">
      <c r="A41" s="6">
        <v>40</v>
      </c>
      <c r="B41" s="2">
        <v>46186</v>
      </c>
      <c r="C41" s="6" t="s">
        <v>20</v>
      </c>
      <c r="D41" s="8" t="s">
        <v>4</v>
      </c>
      <c r="E41" s="7" t="s">
        <v>21</v>
      </c>
      <c r="F41" s="5">
        <v>852</v>
      </c>
      <c r="G41" s="6" t="str">
        <f t="shared" si="0"/>
        <v>Jun-2026</v>
      </c>
    </row>
    <row r="42" spans="1:7" x14ac:dyDescent="0.3">
      <c r="A42" s="1">
        <v>41</v>
      </c>
      <c r="B42" s="2">
        <v>46203</v>
      </c>
      <c r="C42" s="1" t="s">
        <v>3</v>
      </c>
      <c r="D42" s="8" t="s">
        <v>4</v>
      </c>
      <c r="E42" s="4" t="s">
        <v>5</v>
      </c>
      <c r="F42" s="5">
        <v>1458</v>
      </c>
      <c r="G42" s="1" t="str">
        <f t="shared" si="0"/>
        <v>Jun-2026</v>
      </c>
    </row>
    <row r="43" spans="1:7" x14ac:dyDescent="0.3">
      <c r="A43" s="6">
        <v>42</v>
      </c>
      <c r="B43" s="2">
        <v>46188</v>
      </c>
      <c r="C43" s="6" t="s">
        <v>8</v>
      </c>
      <c r="D43" s="8" t="s">
        <v>4</v>
      </c>
      <c r="E43" s="7" t="s">
        <v>18</v>
      </c>
      <c r="F43" s="5">
        <v>646</v>
      </c>
      <c r="G43" s="6" t="str">
        <f t="shared" si="0"/>
        <v>Jun-2026</v>
      </c>
    </row>
    <row r="44" spans="1:7" x14ac:dyDescent="0.3">
      <c r="A44" s="1">
        <v>43</v>
      </c>
      <c r="B44" s="2">
        <v>46227</v>
      </c>
      <c r="C44" s="1" t="s">
        <v>0</v>
      </c>
      <c r="D44" s="3" t="s">
        <v>0</v>
      </c>
      <c r="E44" s="4" t="s">
        <v>24</v>
      </c>
      <c r="F44" s="5">
        <v>5197</v>
      </c>
      <c r="G44" s="1" t="str">
        <f t="shared" si="0"/>
        <v>Jul-2026</v>
      </c>
    </row>
    <row r="45" spans="1:7" x14ac:dyDescent="0.3">
      <c r="A45" s="6">
        <v>44</v>
      </c>
      <c r="B45" s="2">
        <v>46217</v>
      </c>
      <c r="C45" s="6" t="s">
        <v>0</v>
      </c>
      <c r="D45" s="3" t="s">
        <v>0</v>
      </c>
      <c r="E45" s="7" t="s">
        <v>1</v>
      </c>
      <c r="F45" s="5">
        <v>7838</v>
      </c>
      <c r="G45" s="6" t="str">
        <f t="shared" si="0"/>
        <v>Jul-2026</v>
      </c>
    </row>
    <row r="46" spans="1:7" x14ac:dyDescent="0.3">
      <c r="A46" s="1">
        <v>45</v>
      </c>
      <c r="B46" s="2">
        <v>46222</v>
      </c>
      <c r="C46" s="1" t="s">
        <v>0</v>
      </c>
      <c r="D46" s="3" t="s">
        <v>0</v>
      </c>
      <c r="E46" s="4" t="s">
        <v>25</v>
      </c>
      <c r="F46" s="5">
        <v>2408</v>
      </c>
      <c r="G46" s="1" t="str">
        <f t="shared" si="0"/>
        <v>Jul-2026</v>
      </c>
    </row>
    <row r="47" spans="1:7" x14ac:dyDescent="0.3">
      <c r="A47" s="6">
        <v>46</v>
      </c>
      <c r="B47" s="2">
        <v>46223</v>
      </c>
      <c r="C47" s="6" t="s">
        <v>20</v>
      </c>
      <c r="D47" s="8" t="s">
        <v>4</v>
      </c>
      <c r="E47" s="7" t="s">
        <v>26</v>
      </c>
      <c r="F47" s="5">
        <v>332</v>
      </c>
      <c r="G47" s="6" t="str">
        <f t="shared" si="0"/>
        <v>Jul-2026</v>
      </c>
    </row>
    <row r="48" spans="1:7" x14ac:dyDescent="0.3">
      <c r="A48" s="1">
        <v>47</v>
      </c>
      <c r="B48" s="2">
        <v>46216</v>
      </c>
      <c r="C48" s="1" t="s">
        <v>3</v>
      </c>
      <c r="D48" s="8" t="s">
        <v>4</v>
      </c>
      <c r="E48" s="4" t="s">
        <v>22</v>
      </c>
      <c r="F48" s="5">
        <v>990</v>
      </c>
      <c r="G48" s="1" t="str">
        <f t="shared" si="0"/>
        <v>Jul-2026</v>
      </c>
    </row>
    <row r="49" spans="1:7" x14ac:dyDescent="0.3">
      <c r="A49" s="6">
        <v>48</v>
      </c>
      <c r="B49" s="2">
        <v>46223</v>
      </c>
      <c r="C49" s="6" t="s">
        <v>10</v>
      </c>
      <c r="D49" s="8" t="s">
        <v>4</v>
      </c>
      <c r="E49" s="7" t="s">
        <v>11</v>
      </c>
      <c r="F49" s="5">
        <v>439</v>
      </c>
      <c r="G49" s="6" t="str">
        <f t="shared" si="0"/>
        <v>Jul-2026</v>
      </c>
    </row>
    <row r="50" spans="1:7" x14ac:dyDescent="0.3">
      <c r="A50" s="1">
        <v>49</v>
      </c>
      <c r="B50" s="2">
        <v>46220</v>
      </c>
      <c r="C50" s="1" t="s">
        <v>13</v>
      </c>
      <c r="D50" s="8" t="s">
        <v>4</v>
      </c>
      <c r="E50" s="4" t="s">
        <v>17</v>
      </c>
      <c r="F50" s="5">
        <v>464</v>
      </c>
      <c r="G50" s="1" t="str">
        <f t="shared" si="0"/>
        <v>Jul-2026</v>
      </c>
    </row>
    <row r="51" spans="1:7" x14ac:dyDescent="0.3">
      <c r="A51" s="6">
        <v>50</v>
      </c>
      <c r="B51" s="2">
        <v>46221</v>
      </c>
      <c r="C51" s="6" t="s">
        <v>3</v>
      </c>
      <c r="D51" s="8" t="s">
        <v>4</v>
      </c>
      <c r="E51" s="7" t="s">
        <v>5</v>
      </c>
      <c r="F51" s="5">
        <v>1681</v>
      </c>
      <c r="G51" s="6" t="str">
        <f t="shared" si="0"/>
        <v>Jul-2026</v>
      </c>
    </row>
    <row r="52" spans="1:7" x14ac:dyDescent="0.3">
      <c r="A52" s="1">
        <v>51</v>
      </c>
      <c r="B52" s="2">
        <v>46234</v>
      </c>
      <c r="C52" s="1" t="s">
        <v>15</v>
      </c>
      <c r="D52" s="8" t="s">
        <v>4</v>
      </c>
      <c r="E52" s="4" t="s">
        <v>16</v>
      </c>
      <c r="F52" s="5">
        <v>3505</v>
      </c>
      <c r="G52" s="1" t="str">
        <f t="shared" si="0"/>
        <v>Jul-2026</v>
      </c>
    </row>
    <row r="53" spans="1:7" x14ac:dyDescent="0.3">
      <c r="A53" s="6">
        <v>52</v>
      </c>
      <c r="B53" s="2">
        <v>46225</v>
      </c>
      <c r="C53" s="6" t="s">
        <v>10</v>
      </c>
      <c r="D53" s="8" t="s">
        <v>4</v>
      </c>
      <c r="E53" s="7" t="s">
        <v>19</v>
      </c>
      <c r="F53" s="5">
        <v>769</v>
      </c>
      <c r="G53" s="6" t="str">
        <f t="shared" si="0"/>
        <v>Jul-2026</v>
      </c>
    </row>
    <row r="54" spans="1:7" x14ac:dyDescent="0.3">
      <c r="A54" s="1">
        <v>53</v>
      </c>
      <c r="B54" s="2">
        <v>46207</v>
      </c>
      <c r="C54" s="1" t="s">
        <v>6</v>
      </c>
      <c r="D54" s="8" t="s">
        <v>4</v>
      </c>
      <c r="E54" s="4" t="s">
        <v>7</v>
      </c>
      <c r="F54" s="5">
        <v>1298</v>
      </c>
      <c r="G54" s="1" t="str">
        <f t="shared" si="0"/>
        <v>Jul-2026</v>
      </c>
    </row>
    <row r="55" spans="1:7" x14ac:dyDescent="0.3">
      <c r="A55" s="6">
        <v>54</v>
      </c>
      <c r="B55" s="2">
        <v>46232</v>
      </c>
      <c r="C55" s="6" t="s">
        <v>13</v>
      </c>
      <c r="D55" s="8" t="s">
        <v>4</v>
      </c>
      <c r="E55" s="7" t="s">
        <v>23</v>
      </c>
      <c r="F55" s="5">
        <v>387</v>
      </c>
      <c r="G55" s="6" t="str">
        <f t="shared" si="0"/>
        <v>Jul-2026</v>
      </c>
    </row>
    <row r="56" spans="1:7" x14ac:dyDescent="0.3">
      <c r="A56" s="1">
        <v>55</v>
      </c>
      <c r="B56" s="2">
        <v>46228</v>
      </c>
      <c r="C56" s="1" t="s">
        <v>13</v>
      </c>
      <c r="D56" s="8" t="s">
        <v>4</v>
      </c>
      <c r="E56" s="4" t="s">
        <v>14</v>
      </c>
      <c r="F56" s="5">
        <v>636</v>
      </c>
      <c r="G56" s="1" t="str">
        <f t="shared" si="0"/>
        <v>Jul-2026</v>
      </c>
    </row>
    <row r="57" spans="1:7" x14ac:dyDescent="0.3">
      <c r="A57" s="6">
        <v>56</v>
      </c>
      <c r="B57" s="2">
        <v>46228</v>
      </c>
      <c r="C57" s="6" t="s">
        <v>12</v>
      </c>
      <c r="D57" s="8" t="s">
        <v>4</v>
      </c>
      <c r="E57" s="7" t="s">
        <v>12</v>
      </c>
      <c r="F57" s="5">
        <v>528</v>
      </c>
      <c r="G57" s="6" t="str">
        <f t="shared" si="0"/>
        <v>Jul-2026</v>
      </c>
    </row>
    <row r="58" spans="1:7" x14ac:dyDescent="0.3">
      <c r="A58" s="1">
        <v>57</v>
      </c>
      <c r="B58" s="2">
        <v>46240</v>
      </c>
      <c r="C58" s="1" t="s">
        <v>0</v>
      </c>
      <c r="D58" s="3" t="s">
        <v>0</v>
      </c>
      <c r="E58" s="4" t="s">
        <v>1</v>
      </c>
      <c r="F58" s="5">
        <v>6929</v>
      </c>
      <c r="G58" s="1" t="str">
        <f t="shared" si="0"/>
        <v>Aug-2026</v>
      </c>
    </row>
    <row r="59" spans="1:7" x14ac:dyDescent="0.3">
      <c r="A59" s="6">
        <v>58</v>
      </c>
      <c r="B59" s="2">
        <v>46235</v>
      </c>
      <c r="C59" s="6" t="s">
        <v>0</v>
      </c>
      <c r="D59" s="3" t="s">
        <v>0</v>
      </c>
      <c r="E59" s="7" t="s">
        <v>24</v>
      </c>
      <c r="F59" s="5">
        <v>5953</v>
      </c>
      <c r="G59" s="6" t="str">
        <f t="shared" si="0"/>
        <v>Aug-2026</v>
      </c>
    </row>
    <row r="60" spans="1:7" x14ac:dyDescent="0.3">
      <c r="A60" s="1">
        <v>59</v>
      </c>
      <c r="B60" s="2">
        <v>46258</v>
      </c>
      <c r="C60" s="1" t="s">
        <v>0</v>
      </c>
      <c r="D60" s="3" t="s">
        <v>0</v>
      </c>
      <c r="E60" s="4" t="s">
        <v>2</v>
      </c>
      <c r="F60" s="5">
        <v>3293</v>
      </c>
      <c r="G60" s="1" t="str">
        <f t="shared" si="0"/>
        <v>Aug-2026</v>
      </c>
    </row>
    <row r="61" spans="1:7" x14ac:dyDescent="0.3">
      <c r="A61" s="6">
        <v>60</v>
      </c>
      <c r="B61" s="2">
        <v>46245</v>
      </c>
      <c r="C61" s="6" t="s">
        <v>20</v>
      </c>
      <c r="D61" s="8" t="s">
        <v>4</v>
      </c>
      <c r="E61" s="7" t="s">
        <v>21</v>
      </c>
      <c r="F61" s="5">
        <v>650</v>
      </c>
      <c r="G61" s="6" t="str">
        <f t="shared" si="0"/>
        <v>Aug-2026</v>
      </c>
    </row>
    <row r="62" spans="1:7" x14ac:dyDescent="0.3">
      <c r="A62" s="1">
        <v>61</v>
      </c>
      <c r="B62" s="2">
        <v>46235</v>
      </c>
      <c r="C62" s="1" t="s">
        <v>10</v>
      </c>
      <c r="D62" s="8" t="s">
        <v>4</v>
      </c>
      <c r="E62" s="4" t="s">
        <v>11</v>
      </c>
      <c r="F62" s="5">
        <v>257</v>
      </c>
      <c r="G62" s="1" t="str">
        <f t="shared" si="0"/>
        <v>Aug-2026</v>
      </c>
    </row>
    <row r="63" spans="1:7" x14ac:dyDescent="0.3">
      <c r="A63" s="6">
        <v>62</v>
      </c>
      <c r="B63" s="2">
        <v>46264</v>
      </c>
      <c r="C63" s="6" t="s">
        <v>3</v>
      </c>
      <c r="D63" s="8" t="s">
        <v>4</v>
      </c>
      <c r="E63" s="7" t="s">
        <v>22</v>
      </c>
      <c r="F63" s="5">
        <v>971</v>
      </c>
      <c r="G63" s="6" t="str">
        <f t="shared" si="0"/>
        <v>Aug-2026</v>
      </c>
    </row>
    <row r="64" spans="1:7" x14ac:dyDescent="0.3">
      <c r="A64" s="1">
        <v>63</v>
      </c>
      <c r="B64" s="2">
        <v>46263</v>
      </c>
      <c r="C64" s="1" t="s">
        <v>8</v>
      </c>
      <c r="D64" s="8" t="s">
        <v>4</v>
      </c>
      <c r="E64" s="4" t="s">
        <v>18</v>
      </c>
      <c r="F64" s="5">
        <v>1351</v>
      </c>
      <c r="G64" s="1" t="str">
        <f t="shared" si="0"/>
        <v>Aug-2026</v>
      </c>
    </row>
    <row r="65" spans="1:7" x14ac:dyDescent="0.3">
      <c r="A65" s="6">
        <v>64</v>
      </c>
      <c r="B65" s="2">
        <v>46260</v>
      </c>
      <c r="C65" s="6" t="s">
        <v>3</v>
      </c>
      <c r="D65" s="8" t="s">
        <v>4</v>
      </c>
      <c r="E65" s="7" t="s">
        <v>5</v>
      </c>
      <c r="F65" s="5">
        <v>1114</v>
      </c>
      <c r="G65" s="6" t="str">
        <f t="shared" si="0"/>
        <v>Aug-2026</v>
      </c>
    </row>
    <row r="66" spans="1:7" x14ac:dyDescent="0.3">
      <c r="A66" s="1">
        <v>65</v>
      </c>
      <c r="B66" s="2">
        <v>46242</v>
      </c>
      <c r="C66" s="1" t="s">
        <v>12</v>
      </c>
      <c r="D66" s="8" t="s">
        <v>4</v>
      </c>
      <c r="E66" s="4" t="s">
        <v>12</v>
      </c>
      <c r="F66" s="5">
        <v>229</v>
      </c>
      <c r="G66" s="1" t="str">
        <f t="shared" ref="G66:G129" si="1">TEXT(B66,"mmm-yyyy")</f>
        <v>Aug-2026</v>
      </c>
    </row>
    <row r="67" spans="1:7" x14ac:dyDescent="0.3">
      <c r="A67" s="6">
        <v>66</v>
      </c>
      <c r="B67" s="2">
        <v>46242</v>
      </c>
      <c r="C67" s="6" t="s">
        <v>20</v>
      </c>
      <c r="D67" s="8" t="s">
        <v>4</v>
      </c>
      <c r="E67" s="7" t="s">
        <v>26</v>
      </c>
      <c r="F67" s="5">
        <v>590</v>
      </c>
      <c r="G67" s="6" t="str">
        <f t="shared" si="1"/>
        <v>Aug-2026</v>
      </c>
    </row>
    <row r="68" spans="1:7" x14ac:dyDescent="0.3">
      <c r="A68" s="1">
        <v>67</v>
      </c>
      <c r="B68" s="2">
        <v>46265</v>
      </c>
      <c r="C68" s="1" t="s">
        <v>10</v>
      </c>
      <c r="D68" s="8" t="s">
        <v>4</v>
      </c>
      <c r="E68" s="4" t="s">
        <v>19</v>
      </c>
      <c r="F68" s="5">
        <v>440</v>
      </c>
      <c r="G68" s="1" t="str">
        <f t="shared" si="1"/>
        <v>Aug-2026</v>
      </c>
    </row>
    <row r="69" spans="1:7" x14ac:dyDescent="0.3">
      <c r="A69" s="6">
        <v>68</v>
      </c>
      <c r="B69" s="2">
        <v>46237</v>
      </c>
      <c r="C69" s="6" t="s">
        <v>8</v>
      </c>
      <c r="D69" s="8" t="s">
        <v>4</v>
      </c>
      <c r="E69" s="7" t="s">
        <v>9</v>
      </c>
      <c r="F69" s="5">
        <v>674</v>
      </c>
      <c r="G69" s="6" t="str">
        <f t="shared" si="1"/>
        <v>Aug-2026</v>
      </c>
    </row>
    <row r="70" spans="1:7" x14ac:dyDescent="0.3">
      <c r="A70" s="1">
        <v>69</v>
      </c>
      <c r="B70" s="2">
        <v>46250</v>
      </c>
      <c r="C70" s="1" t="s">
        <v>13</v>
      </c>
      <c r="D70" s="8" t="s">
        <v>4</v>
      </c>
      <c r="E70" s="4" t="s">
        <v>14</v>
      </c>
      <c r="F70" s="5">
        <v>535</v>
      </c>
      <c r="G70" s="1" t="str">
        <f t="shared" si="1"/>
        <v>Aug-2026</v>
      </c>
    </row>
    <row r="71" spans="1:7" x14ac:dyDescent="0.3">
      <c r="A71" s="6">
        <v>70</v>
      </c>
      <c r="B71" s="2">
        <v>46259</v>
      </c>
      <c r="C71" s="6" t="s">
        <v>15</v>
      </c>
      <c r="D71" s="8" t="s">
        <v>4</v>
      </c>
      <c r="E71" s="7" t="s">
        <v>16</v>
      </c>
      <c r="F71" s="5">
        <v>3772</v>
      </c>
      <c r="G71" s="6" t="str">
        <f t="shared" si="1"/>
        <v>Aug-2026</v>
      </c>
    </row>
    <row r="72" spans="1:7" x14ac:dyDescent="0.3">
      <c r="A72" s="1">
        <v>71</v>
      </c>
      <c r="B72" s="2">
        <v>46259</v>
      </c>
      <c r="C72" s="1" t="s">
        <v>13</v>
      </c>
      <c r="D72" s="8" t="s">
        <v>4</v>
      </c>
      <c r="E72" s="4" t="s">
        <v>23</v>
      </c>
      <c r="F72" s="5">
        <v>282</v>
      </c>
      <c r="G72" s="1" t="str">
        <f t="shared" si="1"/>
        <v>Aug-2026</v>
      </c>
    </row>
    <row r="73" spans="1:7" x14ac:dyDescent="0.3">
      <c r="A73" s="6">
        <v>72</v>
      </c>
      <c r="B73" s="2">
        <v>46271</v>
      </c>
      <c r="C73" s="6" t="s">
        <v>0</v>
      </c>
      <c r="D73" s="3" t="s">
        <v>0</v>
      </c>
      <c r="E73" s="7" t="s">
        <v>25</v>
      </c>
      <c r="F73" s="5">
        <v>2271</v>
      </c>
      <c r="G73" s="6" t="str">
        <f t="shared" si="1"/>
        <v>Sep-2026</v>
      </c>
    </row>
    <row r="74" spans="1:7" x14ac:dyDescent="0.3">
      <c r="A74" s="1">
        <v>73</v>
      </c>
      <c r="B74" s="2">
        <v>46282</v>
      </c>
      <c r="C74" s="1" t="s">
        <v>0</v>
      </c>
      <c r="D74" s="3" t="s">
        <v>0</v>
      </c>
      <c r="E74" s="4" t="s">
        <v>2</v>
      </c>
      <c r="F74" s="5">
        <v>3286</v>
      </c>
      <c r="G74" s="1" t="str">
        <f t="shared" si="1"/>
        <v>Sep-2026</v>
      </c>
    </row>
    <row r="75" spans="1:7" x14ac:dyDescent="0.3">
      <c r="A75" s="6">
        <v>74</v>
      </c>
      <c r="B75" s="2">
        <v>46273</v>
      </c>
      <c r="C75" s="6" t="s">
        <v>13</v>
      </c>
      <c r="D75" s="8" t="s">
        <v>4</v>
      </c>
      <c r="E75" s="7" t="s">
        <v>14</v>
      </c>
      <c r="F75" s="5">
        <v>532</v>
      </c>
      <c r="G75" s="6" t="str">
        <f t="shared" si="1"/>
        <v>Sep-2026</v>
      </c>
    </row>
    <row r="76" spans="1:7" x14ac:dyDescent="0.3">
      <c r="A76" s="1">
        <v>75</v>
      </c>
      <c r="B76" s="2">
        <v>46276</v>
      </c>
      <c r="C76" s="1" t="s">
        <v>20</v>
      </c>
      <c r="D76" s="8" t="s">
        <v>4</v>
      </c>
      <c r="E76" s="4" t="s">
        <v>26</v>
      </c>
      <c r="F76" s="5">
        <v>310</v>
      </c>
      <c r="G76" s="1" t="str">
        <f t="shared" si="1"/>
        <v>Sep-2026</v>
      </c>
    </row>
    <row r="77" spans="1:7" x14ac:dyDescent="0.3">
      <c r="A77" s="6">
        <v>76</v>
      </c>
      <c r="B77" s="2">
        <v>46284</v>
      </c>
      <c r="C77" s="6" t="s">
        <v>10</v>
      </c>
      <c r="D77" s="8" t="s">
        <v>4</v>
      </c>
      <c r="E77" s="7" t="s">
        <v>11</v>
      </c>
      <c r="F77" s="5">
        <v>483</v>
      </c>
      <c r="G77" s="6" t="str">
        <f t="shared" si="1"/>
        <v>Sep-2026</v>
      </c>
    </row>
    <row r="78" spans="1:7" x14ac:dyDescent="0.3">
      <c r="A78" s="1">
        <v>77</v>
      </c>
      <c r="B78" s="2">
        <v>46273</v>
      </c>
      <c r="C78" s="1" t="s">
        <v>8</v>
      </c>
      <c r="D78" s="8" t="s">
        <v>4</v>
      </c>
      <c r="E78" s="4" t="s">
        <v>18</v>
      </c>
      <c r="F78" s="5">
        <v>1102</v>
      </c>
      <c r="G78" s="1" t="str">
        <f t="shared" si="1"/>
        <v>Sep-2026</v>
      </c>
    </row>
    <row r="79" spans="1:7" x14ac:dyDescent="0.3">
      <c r="A79" s="6">
        <v>78</v>
      </c>
      <c r="B79" s="2">
        <v>46273</v>
      </c>
      <c r="C79" s="6" t="s">
        <v>20</v>
      </c>
      <c r="D79" s="8" t="s">
        <v>4</v>
      </c>
      <c r="E79" s="7" t="s">
        <v>21</v>
      </c>
      <c r="F79" s="5">
        <v>403</v>
      </c>
      <c r="G79" s="6" t="str">
        <f t="shared" si="1"/>
        <v>Sep-2026</v>
      </c>
    </row>
    <row r="80" spans="1:7" x14ac:dyDescent="0.3">
      <c r="A80" s="1">
        <v>79</v>
      </c>
      <c r="B80" s="2">
        <v>46268</v>
      </c>
      <c r="C80" s="1" t="s">
        <v>12</v>
      </c>
      <c r="D80" s="8" t="s">
        <v>4</v>
      </c>
      <c r="E80" s="4" t="s">
        <v>12</v>
      </c>
      <c r="F80" s="5">
        <v>562</v>
      </c>
      <c r="G80" s="1" t="str">
        <f t="shared" si="1"/>
        <v>Sep-2026</v>
      </c>
    </row>
    <row r="81" spans="1:7" x14ac:dyDescent="0.3">
      <c r="A81" s="6">
        <v>80</v>
      </c>
      <c r="B81" s="2">
        <v>46286</v>
      </c>
      <c r="C81" s="6" t="s">
        <v>13</v>
      </c>
      <c r="D81" s="8" t="s">
        <v>4</v>
      </c>
      <c r="E81" s="7" t="s">
        <v>23</v>
      </c>
      <c r="F81" s="5">
        <v>265</v>
      </c>
      <c r="G81" s="6" t="str">
        <f t="shared" si="1"/>
        <v>Sep-2026</v>
      </c>
    </row>
    <row r="82" spans="1:7" x14ac:dyDescent="0.3">
      <c r="A82" s="1">
        <v>81</v>
      </c>
      <c r="B82" s="2">
        <v>46273</v>
      </c>
      <c r="C82" s="1" t="s">
        <v>6</v>
      </c>
      <c r="D82" s="8" t="s">
        <v>4</v>
      </c>
      <c r="E82" s="4" t="s">
        <v>7</v>
      </c>
      <c r="F82" s="5">
        <v>669</v>
      </c>
      <c r="G82" s="1" t="str">
        <f t="shared" si="1"/>
        <v>Sep-2026</v>
      </c>
    </row>
    <row r="83" spans="1:7" x14ac:dyDescent="0.3">
      <c r="A83" s="6">
        <v>82</v>
      </c>
      <c r="B83" s="2">
        <v>46294</v>
      </c>
      <c r="C83" s="6" t="s">
        <v>10</v>
      </c>
      <c r="D83" s="8" t="s">
        <v>4</v>
      </c>
      <c r="E83" s="7" t="s">
        <v>19</v>
      </c>
      <c r="F83" s="5">
        <v>416</v>
      </c>
      <c r="G83" s="6" t="str">
        <f t="shared" si="1"/>
        <v>Sep-2026</v>
      </c>
    </row>
    <row r="84" spans="1:7" x14ac:dyDescent="0.3">
      <c r="A84" s="1">
        <v>83</v>
      </c>
      <c r="B84" s="2">
        <v>46293</v>
      </c>
      <c r="C84" s="1" t="s">
        <v>8</v>
      </c>
      <c r="D84" s="8" t="s">
        <v>4</v>
      </c>
      <c r="E84" s="4" t="s">
        <v>9</v>
      </c>
      <c r="F84" s="5">
        <v>469</v>
      </c>
      <c r="G84" s="1" t="str">
        <f t="shared" si="1"/>
        <v>Sep-2026</v>
      </c>
    </row>
    <row r="85" spans="1:7" x14ac:dyDescent="0.3">
      <c r="A85" s="6">
        <v>84</v>
      </c>
      <c r="B85" s="2">
        <v>46268</v>
      </c>
      <c r="C85" s="6" t="s">
        <v>15</v>
      </c>
      <c r="D85" s="8" t="s">
        <v>4</v>
      </c>
      <c r="E85" s="7" t="s">
        <v>16</v>
      </c>
      <c r="F85" s="5">
        <v>3763</v>
      </c>
      <c r="G85" s="6" t="str">
        <f t="shared" si="1"/>
        <v>Sep-2026</v>
      </c>
    </row>
    <row r="86" spans="1:7" x14ac:dyDescent="0.3">
      <c r="A86" s="1">
        <v>85</v>
      </c>
      <c r="B86" s="2">
        <v>46273</v>
      </c>
      <c r="C86" s="1" t="s">
        <v>13</v>
      </c>
      <c r="D86" s="8" t="s">
        <v>4</v>
      </c>
      <c r="E86" s="4" t="s">
        <v>17</v>
      </c>
      <c r="F86" s="5">
        <v>471</v>
      </c>
      <c r="G86" s="1" t="str">
        <f t="shared" si="1"/>
        <v>Sep-2026</v>
      </c>
    </row>
    <row r="87" spans="1:7" x14ac:dyDescent="0.3">
      <c r="A87" s="1">
        <v>86</v>
      </c>
      <c r="B87" s="2">
        <v>46121</v>
      </c>
      <c r="C87" s="1" t="s">
        <v>0</v>
      </c>
      <c r="D87" s="3" t="s">
        <v>0</v>
      </c>
      <c r="E87" s="4" t="s">
        <v>1</v>
      </c>
      <c r="F87" s="5">
        <v>1238.2260504201699</v>
      </c>
      <c r="G87" s="1" t="str">
        <f t="shared" si="1"/>
        <v>Apr-2026</v>
      </c>
    </row>
    <row r="88" spans="1:7" x14ac:dyDescent="0.3">
      <c r="A88" s="6">
        <v>87</v>
      </c>
      <c r="B88" s="2">
        <v>46120</v>
      </c>
      <c r="C88" s="6" t="s">
        <v>0</v>
      </c>
      <c r="D88" s="3" t="s">
        <v>0</v>
      </c>
      <c r="E88" s="7" t="s">
        <v>2</v>
      </c>
      <c r="F88" s="5">
        <v>1232.4931405120201</v>
      </c>
      <c r="G88" s="6" t="str">
        <f t="shared" si="1"/>
        <v>Apr-2026</v>
      </c>
    </row>
    <row r="89" spans="1:7" x14ac:dyDescent="0.3">
      <c r="A89" s="1">
        <v>88</v>
      </c>
      <c r="B89" s="2">
        <v>46132</v>
      </c>
      <c r="C89" s="1" t="s">
        <v>3</v>
      </c>
      <c r="D89" s="8" t="s">
        <v>4</v>
      </c>
      <c r="E89" s="4" t="s">
        <v>5</v>
      </c>
      <c r="F89" s="5">
        <v>1226.76023060387</v>
      </c>
      <c r="G89" s="1" t="str">
        <f t="shared" si="1"/>
        <v>Apr-2026</v>
      </c>
    </row>
    <row r="90" spans="1:7" x14ac:dyDescent="0.3">
      <c r="A90" s="6">
        <v>89</v>
      </c>
      <c r="B90" s="2">
        <v>46130</v>
      </c>
      <c r="C90" s="6" t="s">
        <v>6</v>
      </c>
      <c r="D90" s="8" t="s">
        <v>4</v>
      </c>
      <c r="E90" s="7" t="s">
        <v>7</v>
      </c>
      <c r="F90" s="5">
        <v>1221.0273206957199</v>
      </c>
      <c r="G90" s="6" t="str">
        <f t="shared" si="1"/>
        <v>Apr-2026</v>
      </c>
    </row>
    <row r="91" spans="1:7" x14ac:dyDescent="0.3">
      <c r="A91" s="1">
        <v>90</v>
      </c>
      <c r="B91" s="2">
        <v>46135</v>
      </c>
      <c r="C91" s="1" t="s">
        <v>8</v>
      </c>
      <c r="D91" s="8" t="s">
        <v>4</v>
      </c>
      <c r="E91" s="4" t="s">
        <v>9</v>
      </c>
      <c r="F91" s="5">
        <v>1215.2944107875701</v>
      </c>
      <c r="G91" s="1" t="str">
        <f t="shared" si="1"/>
        <v>Apr-2026</v>
      </c>
    </row>
    <row r="92" spans="1:7" x14ac:dyDescent="0.3">
      <c r="A92" s="6">
        <v>91</v>
      </c>
      <c r="B92" s="2">
        <v>46135</v>
      </c>
      <c r="C92" s="6" t="s">
        <v>10</v>
      </c>
      <c r="D92" s="8" t="s">
        <v>4</v>
      </c>
      <c r="E92" s="7" t="s">
        <v>11</v>
      </c>
      <c r="F92" s="5">
        <v>1209.56150087942</v>
      </c>
      <c r="G92" s="6" t="str">
        <f t="shared" si="1"/>
        <v>Apr-2026</v>
      </c>
    </row>
    <row r="93" spans="1:7" x14ac:dyDescent="0.3">
      <c r="A93" s="1">
        <v>92</v>
      </c>
      <c r="B93" s="2">
        <v>46126</v>
      </c>
      <c r="C93" s="1" t="s">
        <v>12</v>
      </c>
      <c r="D93" s="8" t="s">
        <v>4</v>
      </c>
      <c r="E93" s="4" t="s">
        <v>12</v>
      </c>
      <c r="F93" s="5">
        <v>1203.8285909712699</v>
      </c>
      <c r="G93" s="1" t="str">
        <f t="shared" si="1"/>
        <v>Apr-2026</v>
      </c>
    </row>
    <row r="94" spans="1:7" x14ac:dyDescent="0.3">
      <c r="A94" s="6">
        <v>93</v>
      </c>
      <c r="B94" s="2">
        <v>46127</v>
      </c>
      <c r="C94" s="6" t="s">
        <v>13</v>
      </c>
      <c r="D94" s="8" t="s">
        <v>4</v>
      </c>
      <c r="E94" s="7" t="s">
        <v>14</v>
      </c>
      <c r="F94" s="5">
        <v>1198.0956810631201</v>
      </c>
      <c r="G94" s="6" t="str">
        <f t="shared" si="1"/>
        <v>Apr-2026</v>
      </c>
    </row>
    <row r="95" spans="1:7" x14ac:dyDescent="0.3">
      <c r="A95" s="1">
        <v>94</v>
      </c>
      <c r="B95" s="2">
        <v>46121</v>
      </c>
      <c r="C95" s="1" t="s">
        <v>15</v>
      </c>
      <c r="D95" s="8" t="s">
        <v>4</v>
      </c>
      <c r="E95" s="4" t="s">
        <v>16</v>
      </c>
      <c r="F95" s="5">
        <v>1192.36277115497</v>
      </c>
      <c r="G95" s="1" t="str">
        <f t="shared" si="1"/>
        <v>Apr-2026</v>
      </c>
    </row>
    <row r="96" spans="1:7" x14ac:dyDescent="0.3">
      <c r="A96" s="6">
        <v>95</v>
      </c>
      <c r="B96" s="2">
        <v>46140</v>
      </c>
      <c r="C96" s="6" t="s">
        <v>13</v>
      </c>
      <c r="D96" s="8" t="s">
        <v>4</v>
      </c>
      <c r="E96" s="7" t="s">
        <v>17</v>
      </c>
      <c r="F96" s="5">
        <v>1186.6298612468199</v>
      </c>
      <c r="G96" s="6" t="str">
        <f t="shared" si="1"/>
        <v>Apr-2026</v>
      </c>
    </row>
    <row r="97" spans="1:7" x14ac:dyDescent="0.3">
      <c r="A97" s="1">
        <v>96</v>
      </c>
      <c r="B97" s="2">
        <v>46137</v>
      </c>
      <c r="C97" s="1" t="s">
        <v>8</v>
      </c>
      <c r="D97" s="8" t="s">
        <v>4</v>
      </c>
      <c r="E97" s="4" t="s">
        <v>18</v>
      </c>
      <c r="F97" s="5">
        <v>1180.8969513386801</v>
      </c>
      <c r="G97" s="1" t="str">
        <f t="shared" si="1"/>
        <v>Apr-2026</v>
      </c>
    </row>
    <row r="98" spans="1:7" x14ac:dyDescent="0.3">
      <c r="A98" s="6">
        <v>97</v>
      </c>
      <c r="B98" s="2">
        <v>46118</v>
      </c>
      <c r="C98" s="6" t="s">
        <v>10</v>
      </c>
      <c r="D98" s="8" t="s">
        <v>4</v>
      </c>
      <c r="E98" s="7" t="s">
        <v>19</v>
      </c>
      <c r="F98" s="5">
        <v>1175.16404143053</v>
      </c>
      <c r="G98" s="6" t="str">
        <f t="shared" si="1"/>
        <v>Apr-2026</v>
      </c>
    </row>
    <row r="99" spans="1:7" x14ac:dyDescent="0.3">
      <c r="A99" s="1">
        <v>98</v>
      </c>
      <c r="B99" s="2">
        <v>46126</v>
      </c>
      <c r="C99" s="1" t="s">
        <v>20</v>
      </c>
      <c r="D99" s="8" t="s">
        <v>4</v>
      </c>
      <c r="E99" s="4" t="s">
        <v>21</v>
      </c>
      <c r="F99" s="5">
        <v>1169.4311315223799</v>
      </c>
      <c r="G99" s="1" t="str">
        <f t="shared" si="1"/>
        <v>Apr-2026</v>
      </c>
    </row>
    <row r="100" spans="1:7" x14ac:dyDescent="0.3">
      <c r="A100" s="6">
        <v>99</v>
      </c>
      <c r="B100" s="2">
        <v>46121</v>
      </c>
      <c r="C100" s="6" t="s">
        <v>3</v>
      </c>
      <c r="D100" s="8" t="s">
        <v>4</v>
      </c>
      <c r="E100" s="7" t="s">
        <v>22</v>
      </c>
      <c r="F100" s="5">
        <v>1163.6982216142301</v>
      </c>
      <c r="G100" s="6" t="str">
        <f t="shared" si="1"/>
        <v>Apr-2026</v>
      </c>
    </row>
    <row r="101" spans="1:7" x14ac:dyDescent="0.3">
      <c r="A101" s="1">
        <v>100</v>
      </c>
      <c r="B101" s="2">
        <v>46145</v>
      </c>
      <c r="C101" s="1" t="s">
        <v>0</v>
      </c>
      <c r="D101" s="3" t="s">
        <v>0</v>
      </c>
      <c r="E101" s="4" t="s">
        <v>2</v>
      </c>
      <c r="F101" s="5">
        <v>1157.96531170608</v>
      </c>
      <c r="G101" s="1" t="str">
        <f t="shared" si="1"/>
        <v>May-2026</v>
      </c>
    </row>
    <row r="102" spans="1:7" x14ac:dyDescent="0.3">
      <c r="A102" s="6">
        <v>101</v>
      </c>
      <c r="B102" s="2">
        <v>46146</v>
      </c>
      <c r="C102" s="6" t="s">
        <v>0</v>
      </c>
      <c r="D102" s="3" t="s">
        <v>0</v>
      </c>
      <c r="E102" s="7" t="s">
        <v>1</v>
      </c>
      <c r="F102" s="5">
        <v>1152.2324017979299</v>
      </c>
      <c r="G102" s="6" t="str">
        <f t="shared" si="1"/>
        <v>May-2026</v>
      </c>
    </row>
    <row r="103" spans="1:7" x14ac:dyDescent="0.3">
      <c r="A103" s="1">
        <v>102</v>
      </c>
      <c r="B103" s="2">
        <v>46161</v>
      </c>
      <c r="C103" s="1" t="s">
        <v>10</v>
      </c>
      <c r="D103" s="8" t="s">
        <v>4</v>
      </c>
      <c r="E103" s="4" t="s">
        <v>19</v>
      </c>
      <c r="F103" s="5">
        <v>1146.4994918897801</v>
      </c>
      <c r="G103" s="1" t="str">
        <f t="shared" si="1"/>
        <v>May-2026</v>
      </c>
    </row>
    <row r="104" spans="1:7" x14ac:dyDescent="0.3">
      <c r="A104" s="6">
        <v>103</v>
      </c>
      <c r="B104" s="2">
        <v>46165</v>
      </c>
      <c r="C104" s="6" t="s">
        <v>20</v>
      </c>
      <c r="D104" s="8" t="s">
        <v>4</v>
      </c>
      <c r="E104" s="7" t="s">
        <v>21</v>
      </c>
      <c r="F104" s="5">
        <v>1140.76658198163</v>
      </c>
      <c r="G104" s="6" t="str">
        <f t="shared" si="1"/>
        <v>May-2026</v>
      </c>
    </row>
    <row r="105" spans="1:7" x14ac:dyDescent="0.3">
      <c r="A105" s="1">
        <v>104</v>
      </c>
      <c r="B105" s="2">
        <v>46144</v>
      </c>
      <c r="C105" s="1" t="s">
        <v>15</v>
      </c>
      <c r="D105" s="8" t="s">
        <v>4</v>
      </c>
      <c r="E105" s="4" t="s">
        <v>16</v>
      </c>
      <c r="F105" s="5">
        <v>1135.0336720734799</v>
      </c>
      <c r="G105" s="1" t="str">
        <f t="shared" si="1"/>
        <v>May-2026</v>
      </c>
    </row>
    <row r="106" spans="1:7" x14ac:dyDescent="0.3">
      <c r="A106" s="6">
        <v>105</v>
      </c>
      <c r="B106" s="2">
        <v>46150</v>
      </c>
      <c r="C106" s="6" t="s">
        <v>13</v>
      </c>
      <c r="D106" s="8" t="s">
        <v>4</v>
      </c>
      <c r="E106" s="7" t="s">
        <v>17</v>
      </c>
      <c r="F106" s="5">
        <v>1129.3007621653301</v>
      </c>
      <c r="G106" s="6" t="str">
        <f t="shared" si="1"/>
        <v>May-2026</v>
      </c>
    </row>
    <row r="107" spans="1:7" x14ac:dyDescent="0.3">
      <c r="A107" s="1">
        <v>106</v>
      </c>
      <c r="B107" s="2">
        <v>46152</v>
      </c>
      <c r="C107" s="1" t="s">
        <v>10</v>
      </c>
      <c r="D107" s="8" t="s">
        <v>4</v>
      </c>
      <c r="E107" s="4" t="s">
        <v>11</v>
      </c>
      <c r="F107" s="5">
        <v>1123.56785225718</v>
      </c>
      <c r="G107" s="1" t="str">
        <f t="shared" si="1"/>
        <v>May-2026</v>
      </c>
    </row>
    <row r="108" spans="1:7" x14ac:dyDescent="0.3">
      <c r="A108" s="6">
        <v>107</v>
      </c>
      <c r="B108" s="2">
        <v>46170</v>
      </c>
      <c r="C108" s="6" t="s">
        <v>3</v>
      </c>
      <c r="D108" s="8" t="s">
        <v>4</v>
      </c>
      <c r="E108" s="7" t="s">
        <v>5</v>
      </c>
      <c r="F108" s="5">
        <v>1117.8349423490299</v>
      </c>
      <c r="G108" s="6" t="str">
        <f t="shared" si="1"/>
        <v>May-2026</v>
      </c>
    </row>
    <row r="109" spans="1:7" x14ac:dyDescent="0.3">
      <c r="A109" s="1">
        <v>108</v>
      </c>
      <c r="B109" s="2">
        <v>46170</v>
      </c>
      <c r="C109" s="1" t="s">
        <v>13</v>
      </c>
      <c r="D109" s="8" t="s">
        <v>4</v>
      </c>
      <c r="E109" s="4" t="s">
        <v>14</v>
      </c>
      <c r="F109" s="5">
        <v>1112.1020324408801</v>
      </c>
      <c r="G109" s="1" t="str">
        <f t="shared" si="1"/>
        <v>May-2026</v>
      </c>
    </row>
    <row r="110" spans="1:7" x14ac:dyDescent="0.3">
      <c r="A110" s="6">
        <v>109</v>
      </c>
      <c r="B110" s="2">
        <v>46155</v>
      </c>
      <c r="C110" s="6" t="s">
        <v>8</v>
      </c>
      <c r="D110" s="8" t="s">
        <v>4</v>
      </c>
      <c r="E110" s="7" t="s">
        <v>9</v>
      </c>
      <c r="F110" s="5">
        <v>1106.36912253273</v>
      </c>
      <c r="G110" s="6" t="str">
        <f t="shared" si="1"/>
        <v>May-2026</v>
      </c>
    </row>
    <row r="111" spans="1:7" x14ac:dyDescent="0.3">
      <c r="A111" s="1">
        <v>110</v>
      </c>
      <c r="B111" s="2">
        <v>46157</v>
      </c>
      <c r="C111" s="1" t="s">
        <v>8</v>
      </c>
      <c r="D111" s="8" t="s">
        <v>4</v>
      </c>
      <c r="E111" s="4" t="s">
        <v>18</v>
      </c>
      <c r="F111" s="5">
        <v>1100.6362126245899</v>
      </c>
      <c r="G111" s="1" t="str">
        <f t="shared" si="1"/>
        <v>May-2026</v>
      </c>
    </row>
    <row r="112" spans="1:7" x14ac:dyDescent="0.3">
      <c r="A112" s="6">
        <v>111</v>
      </c>
      <c r="B112" s="2">
        <v>46169</v>
      </c>
      <c r="C112" s="6" t="s">
        <v>3</v>
      </c>
      <c r="D112" s="8" t="s">
        <v>4</v>
      </c>
      <c r="E112" s="7" t="s">
        <v>22</v>
      </c>
      <c r="F112" s="5">
        <v>1094.9033027164401</v>
      </c>
      <c r="G112" s="6" t="str">
        <f t="shared" si="1"/>
        <v>May-2026</v>
      </c>
    </row>
    <row r="113" spans="1:7" x14ac:dyDescent="0.3">
      <c r="A113" s="1">
        <v>112</v>
      </c>
      <c r="B113" s="2">
        <v>46148</v>
      </c>
      <c r="C113" s="1" t="s">
        <v>13</v>
      </c>
      <c r="D113" s="8" t="s">
        <v>4</v>
      </c>
      <c r="E113" s="4" t="s">
        <v>23</v>
      </c>
      <c r="F113" s="5">
        <v>1089.17039280829</v>
      </c>
      <c r="G113" s="1" t="str">
        <f t="shared" si="1"/>
        <v>May-2026</v>
      </c>
    </row>
    <row r="114" spans="1:7" x14ac:dyDescent="0.3">
      <c r="A114" s="6">
        <v>113</v>
      </c>
      <c r="B114" s="2">
        <v>46196</v>
      </c>
      <c r="C114" s="6" t="s">
        <v>0</v>
      </c>
      <c r="D114" s="3" t="s">
        <v>0</v>
      </c>
      <c r="E114" s="7" t="s">
        <v>24</v>
      </c>
      <c r="F114" s="5">
        <v>1083.4374829001399</v>
      </c>
      <c r="G114" s="6" t="str">
        <f t="shared" si="1"/>
        <v>Jun-2026</v>
      </c>
    </row>
    <row r="115" spans="1:7" x14ac:dyDescent="0.3">
      <c r="A115" s="1">
        <v>114</v>
      </c>
      <c r="B115" s="2">
        <v>46195</v>
      </c>
      <c r="C115" s="1" t="s">
        <v>0</v>
      </c>
      <c r="D115" s="3" t="s">
        <v>0</v>
      </c>
      <c r="E115" s="4" t="s">
        <v>2</v>
      </c>
      <c r="F115" s="5">
        <v>1077.7045729919901</v>
      </c>
      <c r="G115" s="1" t="str">
        <f t="shared" si="1"/>
        <v>Jun-2026</v>
      </c>
    </row>
    <row r="116" spans="1:7" x14ac:dyDescent="0.3">
      <c r="A116" s="6">
        <v>115</v>
      </c>
      <c r="B116" s="2">
        <v>46176</v>
      </c>
      <c r="C116" s="6" t="s">
        <v>0</v>
      </c>
      <c r="D116" s="3" t="s">
        <v>0</v>
      </c>
      <c r="E116" s="7" t="s">
        <v>25</v>
      </c>
      <c r="F116" s="5">
        <v>1071.97166308384</v>
      </c>
      <c r="G116" s="6" t="str">
        <f t="shared" si="1"/>
        <v>Jun-2026</v>
      </c>
    </row>
    <row r="117" spans="1:7" x14ac:dyDescent="0.3">
      <c r="A117" s="1">
        <v>116</v>
      </c>
      <c r="B117" s="2">
        <v>46184</v>
      </c>
      <c r="C117" s="1" t="s">
        <v>3</v>
      </c>
      <c r="D117" s="8" t="s">
        <v>4</v>
      </c>
      <c r="E117" s="4" t="s">
        <v>22</v>
      </c>
      <c r="F117" s="5">
        <v>1066.2387531756899</v>
      </c>
      <c r="G117" s="1" t="str">
        <f t="shared" si="1"/>
        <v>Jun-2026</v>
      </c>
    </row>
    <row r="118" spans="1:7" x14ac:dyDescent="0.3">
      <c r="A118" s="6">
        <v>117</v>
      </c>
      <c r="B118" s="2">
        <v>46181</v>
      </c>
      <c r="C118" s="6" t="s">
        <v>10</v>
      </c>
      <c r="D118" s="8" t="s">
        <v>4</v>
      </c>
      <c r="E118" s="7" t="s">
        <v>11</v>
      </c>
      <c r="F118" s="5">
        <v>1060.5058432675401</v>
      </c>
      <c r="G118" s="6" t="str">
        <f t="shared" si="1"/>
        <v>Jun-2026</v>
      </c>
    </row>
    <row r="119" spans="1:7" x14ac:dyDescent="0.3">
      <c r="A119" s="1">
        <v>118</v>
      </c>
      <c r="B119" s="2">
        <v>46199</v>
      </c>
      <c r="C119" s="1" t="s">
        <v>8</v>
      </c>
      <c r="D119" s="8" t="s">
        <v>4</v>
      </c>
      <c r="E119" s="4" t="s">
        <v>9</v>
      </c>
      <c r="F119" s="5">
        <v>1054.77293335939</v>
      </c>
      <c r="G119" s="1" t="str">
        <f t="shared" si="1"/>
        <v>Jun-2026</v>
      </c>
    </row>
    <row r="120" spans="1:7" x14ac:dyDescent="0.3">
      <c r="A120" s="6">
        <v>119</v>
      </c>
      <c r="B120" s="2">
        <v>46186</v>
      </c>
      <c r="C120" s="6" t="s">
        <v>20</v>
      </c>
      <c r="D120" s="8" t="s">
        <v>4</v>
      </c>
      <c r="E120" s="7" t="s">
        <v>26</v>
      </c>
      <c r="F120" s="5">
        <v>1049.0400234512399</v>
      </c>
      <c r="G120" s="6" t="str">
        <f t="shared" si="1"/>
        <v>Jun-2026</v>
      </c>
    </row>
    <row r="121" spans="1:7" x14ac:dyDescent="0.3">
      <c r="A121" s="1">
        <v>120</v>
      </c>
      <c r="B121" s="2">
        <v>46176</v>
      </c>
      <c r="C121" s="1" t="s">
        <v>12</v>
      </c>
      <c r="D121" s="8" t="s">
        <v>4</v>
      </c>
      <c r="E121" s="4" t="s">
        <v>12</v>
      </c>
      <c r="F121" s="5">
        <v>1043.3071135430901</v>
      </c>
      <c r="G121" s="1" t="str">
        <f t="shared" si="1"/>
        <v>Jun-2026</v>
      </c>
    </row>
    <row r="122" spans="1:7" x14ac:dyDescent="0.3">
      <c r="A122" s="6">
        <v>121</v>
      </c>
      <c r="B122" s="2">
        <v>46203</v>
      </c>
      <c r="C122" s="6" t="s">
        <v>13</v>
      </c>
      <c r="D122" s="8" t="s">
        <v>4</v>
      </c>
      <c r="E122" s="7" t="s">
        <v>17</v>
      </c>
      <c r="F122" s="5">
        <v>1037.57420363494</v>
      </c>
      <c r="G122" s="6" t="str">
        <f t="shared" si="1"/>
        <v>Jun-2026</v>
      </c>
    </row>
    <row r="123" spans="1:7" x14ac:dyDescent="0.3">
      <c r="A123" s="1">
        <v>122</v>
      </c>
      <c r="B123" s="2">
        <v>46202</v>
      </c>
      <c r="C123" s="1" t="s">
        <v>13</v>
      </c>
      <c r="D123" s="8" t="s">
        <v>4</v>
      </c>
      <c r="E123" s="4" t="s">
        <v>14</v>
      </c>
      <c r="F123" s="5">
        <v>1031.8412937267899</v>
      </c>
      <c r="G123" s="1" t="str">
        <f t="shared" si="1"/>
        <v>Jun-2026</v>
      </c>
    </row>
    <row r="124" spans="1:7" x14ac:dyDescent="0.3">
      <c r="A124" s="6">
        <v>123</v>
      </c>
      <c r="B124" s="2">
        <v>46184</v>
      </c>
      <c r="C124" s="6" t="s">
        <v>10</v>
      </c>
      <c r="D124" s="8" t="s">
        <v>4</v>
      </c>
      <c r="E124" s="7" t="s">
        <v>19</v>
      </c>
      <c r="F124" s="5">
        <v>1026.10838381864</v>
      </c>
      <c r="G124" s="6" t="str">
        <f t="shared" si="1"/>
        <v>Jun-2026</v>
      </c>
    </row>
    <row r="125" spans="1:7" x14ac:dyDescent="0.3">
      <c r="A125" s="1">
        <v>124</v>
      </c>
      <c r="B125" s="2">
        <v>46194</v>
      </c>
      <c r="C125" s="1" t="s">
        <v>13</v>
      </c>
      <c r="D125" s="8" t="s">
        <v>4</v>
      </c>
      <c r="E125" s="4" t="s">
        <v>23</v>
      </c>
      <c r="F125" s="5">
        <v>1020.3754739105</v>
      </c>
      <c r="G125" s="1" t="str">
        <f t="shared" si="1"/>
        <v>Jun-2026</v>
      </c>
    </row>
    <row r="126" spans="1:7" x14ac:dyDescent="0.3">
      <c r="A126" s="6">
        <v>125</v>
      </c>
      <c r="B126" s="2">
        <v>46186</v>
      </c>
      <c r="C126" s="6" t="s">
        <v>20</v>
      </c>
      <c r="D126" s="8" t="s">
        <v>4</v>
      </c>
      <c r="E126" s="7" t="s">
        <v>21</v>
      </c>
      <c r="F126" s="5">
        <v>1014.64256400235</v>
      </c>
      <c r="G126" s="6" t="str">
        <f t="shared" si="1"/>
        <v>Jun-2026</v>
      </c>
    </row>
    <row r="127" spans="1:7" x14ac:dyDescent="0.3">
      <c r="A127" s="1">
        <v>126</v>
      </c>
      <c r="B127" s="2">
        <v>46203</v>
      </c>
      <c r="C127" s="1" t="s">
        <v>3</v>
      </c>
      <c r="D127" s="8" t="s">
        <v>4</v>
      </c>
      <c r="E127" s="4" t="s">
        <v>5</v>
      </c>
      <c r="F127" s="5">
        <v>1008.9096540942001</v>
      </c>
      <c r="G127" s="1" t="str">
        <f t="shared" si="1"/>
        <v>Jun-2026</v>
      </c>
    </row>
    <row r="128" spans="1:7" x14ac:dyDescent="0.3">
      <c r="A128" s="6">
        <v>127</v>
      </c>
      <c r="B128" s="2">
        <v>46188</v>
      </c>
      <c r="C128" s="6" t="s">
        <v>8</v>
      </c>
      <c r="D128" s="8" t="s">
        <v>4</v>
      </c>
      <c r="E128" s="7" t="s">
        <v>18</v>
      </c>
      <c r="F128" s="5">
        <v>1003.17674418605</v>
      </c>
      <c r="G128" s="6" t="str">
        <f t="shared" si="1"/>
        <v>Jun-2026</v>
      </c>
    </row>
    <row r="129" spans="1:7" x14ac:dyDescent="0.3">
      <c r="A129" s="1">
        <v>128</v>
      </c>
      <c r="B129" s="2">
        <v>46227</v>
      </c>
      <c r="C129" s="1" t="s">
        <v>0</v>
      </c>
      <c r="D129" s="3" t="s">
        <v>0</v>
      </c>
      <c r="E129" s="4" t="s">
        <v>24</v>
      </c>
      <c r="F129" s="5">
        <v>997.44383427789899</v>
      </c>
      <c r="G129" s="1" t="str">
        <f t="shared" si="1"/>
        <v>Jul-2026</v>
      </c>
    </row>
    <row r="130" spans="1:7" x14ac:dyDescent="0.3">
      <c r="A130" s="6">
        <v>129</v>
      </c>
      <c r="B130" s="2">
        <v>46217</v>
      </c>
      <c r="C130" s="6" t="s">
        <v>0</v>
      </c>
      <c r="D130" s="3" t="s">
        <v>0</v>
      </c>
      <c r="E130" s="7" t="s">
        <v>1</v>
      </c>
      <c r="F130" s="5">
        <v>991.71092436974902</v>
      </c>
      <c r="G130" s="6" t="str">
        <f t="shared" ref="G130:G193" si="2">TEXT(B130,"mmm-yyyy")</f>
        <v>Jul-2026</v>
      </c>
    </row>
    <row r="131" spans="1:7" x14ac:dyDescent="0.3">
      <c r="A131" s="1">
        <v>130</v>
      </c>
      <c r="B131" s="2">
        <v>46222</v>
      </c>
      <c r="C131" s="1" t="s">
        <v>0</v>
      </c>
      <c r="D131" s="3" t="s">
        <v>0</v>
      </c>
      <c r="E131" s="4" t="s">
        <v>25</v>
      </c>
      <c r="F131" s="5">
        <v>985.97801446159997</v>
      </c>
      <c r="G131" s="1" t="str">
        <f t="shared" si="2"/>
        <v>Jul-2026</v>
      </c>
    </row>
    <row r="132" spans="1:7" x14ac:dyDescent="0.3">
      <c r="A132" s="6">
        <v>131</v>
      </c>
      <c r="B132" s="2">
        <v>46223</v>
      </c>
      <c r="C132" s="6" t="s">
        <v>20</v>
      </c>
      <c r="D132" s="8" t="s">
        <v>4</v>
      </c>
      <c r="E132" s="7" t="s">
        <v>26</v>
      </c>
      <c r="F132" s="5">
        <v>980.24510455345001</v>
      </c>
      <c r="G132" s="6" t="str">
        <f t="shared" si="2"/>
        <v>Jul-2026</v>
      </c>
    </row>
    <row r="133" spans="1:7" x14ac:dyDescent="0.3">
      <c r="A133" s="1">
        <v>132</v>
      </c>
      <c r="B133" s="2">
        <v>46216</v>
      </c>
      <c r="C133" s="1" t="s">
        <v>3</v>
      </c>
      <c r="D133" s="8" t="s">
        <v>4</v>
      </c>
      <c r="E133" s="4" t="s">
        <v>22</v>
      </c>
      <c r="F133" s="5">
        <v>974.51219464530197</v>
      </c>
      <c r="G133" s="1" t="str">
        <f t="shared" si="2"/>
        <v>Jul-2026</v>
      </c>
    </row>
    <row r="134" spans="1:7" x14ac:dyDescent="0.3">
      <c r="A134" s="6">
        <v>133</v>
      </c>
      <c r="B134" s="2">
        <v>46223</v>
      </c>
      <c r="C134" s="6" t="s">
        <v>10</v>
      </c>
      <c r="D134" s="8" t="s">
        <v>4</v>
      </c>
      <c r="E134" s="7" t="s">
        <v>11</v>
      </c>
      <c r="F134" s="5">
        <v>968.77928473715201</v>
      </c>
      <c r="G134" s="6" t="str">
        <f t="shared" si="2"/>
        <v>Jul-2026</v>
      </c>
    </row>
    <row r="135" spans="1:7" x14ac:dyDescent="0.3">
      <c r="A135" s="1">
        <v>134</v>
      </c>
      <c r="B135" s="2">
        <v>46220</v>
      </c>
      <c r="C135" s="1" t="s">
        <v>13</v>
      </c>
      <c r="D135" s="8" t="s">
        <v>4</v>
      </c>
      <c r="E135" s="4" t="s">
        <v>17</v>
      </c>
      <c r="F135" s="5">
        <v>963.04637482900296</v>
      </c>
      <c r="G135" s="1" t="str">
        <f t="shared" si="2"/>
        <v>Jul-2026</v>
      </c>
    </row>
    <row r="136" spans="1:7" x14ac:dyDescent="0.3">
      <c r="A136" s="6">
        <v>135</v>
      </c>
      <c r="B136" s="2">
        <v>46221</v>
      </c>
      <c r="C136" s="6" t="s">
        <v>3</v>
      </c>
      <c r="D136" s="8" t="s">
        <v>4</v>
      </c>
      <c r="E136" s="7" t="s">
        <v>5</v>
      </c>
      <c r="F136" s="5">
        <v>957.31346492085402</v>
      </c>
      <c r="G136" s="6" t="str">
        <f t="shared" si="2"/>
        <v>Jul-2026</v>
      </c>
    </row>
    <row r="137" spans="1:7" x14ac:dyDescent="0.3">
      <c r="A137" s="1">
        <v>136</v>
      </c>
      <c r="B137" s="2">
        <v>46234</v>
      </c>
      <c r="C137" s="1" t="s">
        <v>15</v>
      </c>
      <c r="D137" s="8" t="s">
        <v>4</v>
      </c>
      <c r="E137" s="4" t="s">
        <v>16</v>
      </c>
      <c r="F137" s="5">
        <v>951.58055501270303</v>
      </c>
      <c r="G137" s="1" t="str">
        <f t="shared" si="2"/>
        <v>Jul-2026</v>
      </c>
    </row>
    <row r="138" spans="1:7" x14ac:dyDescent="0.3">
      <c r="A138" s="6">
        <v>137</v>
      </c>
      <c r="B138" s="2">
        <v>46225</v>
      </c>
      <c r="C138" s="6" t="s">
        <v>10</v>
      </c>
      <c r="D138" s="8" t="s">
        <v>4</v>
      </c>
      <c r="E138" s="7" t="s">
        <v>19</v>
      </c>
      <c r="F138" s="5">
        <v>945.847645104555</v>
      </c>
      <c r="G138" s="6" t="str">
        <f t="shared" si="2"/>
        <v>Jul-2026</v>
      </c>
    </row>
    <row r="139" spans="1:7" x14ac:dyDescent="0.3">
      <c r="A139" s="1">
        <v>138</v>
      </c>
      <c r="B139" s="2">
        <v>46207</v>
      </c>
      <c r="C139" s="1" t="s">
        <v>6</v>
      </c>
      <c r="D139" s="8" t="s">
        <v>4</v>
      </c>
      <c r="E139" s="4" t="s">
        <v>7</v>
      </c>
      <c r="F139" s="5">
        <v>940.11473519640504</v>
      </c>
      <c r="G139" s="1" t="str">
        <f t="shared" si="2"/>
        <v>Jul-2026</v>
      </c>
    </row>
    <row r="140" spans="1:7" x14ac:dyDescent="0.3">
      <c r="A140" s="6">
        <v>139</v>
      </c>
      <c r="B140" s="2">
        <v>46232</v>
      </c>
      <c r="C140" s="6" t="s">
        <v>13</v>
      </c>
      <c r="D140" s="8" t="s">
        <v>4</v>
      </c>
      <c r="E140" s="7" t="s">
        <v>23</v>
      </c>
      <c r="F140" s="5">
        <v>934.38182528825701</v>
      </c>
      <c r="G140" s="6" t="str">
        <f t="shared" si="2"/>
        <v>Jul-2026</v>
      </c>
    </row>
    <row r="141" spans="1:7" x14ac:dyDescent="0.3">
      <c r="A141" s="1">
        <v>140</v>
      </c>
      <c r="B141" s="2">
        <v>46228</v>
      </c>
      <c r="C141" s="1" t="s">
        <v>13</v>
      </c>
      <c r="D141" s="8" t="s">
        <v>4</v>
      </c>
      <c r="E141" s="4" t="s">
        <v>14</v>
      </c>
      <c r="F141" s="5">
        <v>928.64891538010602</v>
      </c>
      <c r="G141" s="1" t="str">
        <f t="shared" si="2"/>
        <v>Jul-2026</v>
      </c>
    </row>
    <row r="142" spans="1:7" x14ac:dyDescent="0.3">
      <c r="A142" s="6">
        <v>141</v>
      </c>
      <c r="B142" s="2">
        <v>46228</v>
      </c>
      <c r="C142" s="6" t="s">
        <v>12</v>
      </c>
      <c r="D142" s="8" t="s">
        <v>4</v>
      </c>
      <c r="E142" s="7" t="s">
        <v>12</v>
      </c>
      <c r="F142" s="5">
        <v>922.91600547195799</v>
      </c>
      <c r="G142" s="6" t="str">
        <f t="shared" si="2"/>
        <v>Jul-2026</v>
      </c>
    </row>
    <row r="143" spans="1:7" x14ac:dyDescent="0.3">
      <c r="A143" s="1">
        <v>142</v>
      </c>
      <c r="B143" s="2">
        <v>46240</v>
      </c>
      <c r="C143" s="1" t="s">
        <v>0</v>
      </c>
      <c r="D143" s="3" t="s">
        <v>0</v>
      </c>
      <c r="E143" s="4" t="s">
        <v>1</v>
      </c>
      <c r="F143" s="5">
        <v>917.18309556380802</v>
      </c>
      <c r="G143" s="1" t="str">
        <f t="shared" si="2"/>
        <v>Aug-2026</v>
      </c>
    </row>
    <row r="144" spans="1:7" x14ac:dyDescent="0.3">
      <c r="A144" s="6">
        <v>143</v>
      </c>
      <c r="B144" s="2">
        <v>46235</v>
      </c>
      <c r="C144" s="6" t="s">
        <v>0</v>
      </c>
      <c r="D144" s="3" t="s">
        <v>0</v>
      </c>
      <c r="E144" s="7" t="s">
        <v>24</v>
      </c>
      <c r="F144" s="5">
        <v>911.45018565565897</v>
      </c>
      <c r="G144" s="6" t="str">
        <f t="shared" si="2"/>
        <v>Aug-2026</v>
      </c>
    </row>
    <row r="145" spans="1:7" x14ac:dyDescent="0.3">
      <c r="A145" s="1">
        <v>144</v>
      </c>
      <c r="B145" s="2">
        <v>46258</v>
      </c>
      <c r="C145" s="1" t="s">
        <v>0</v>
      </c>
      <c r="D145" s="3" t="s">
        <v>0</v>
      </c>
      <c r="E145" s="4" t="s">
        <v>2</v>
      </c>
      <c r="F145" s="5">
        <v>905.71727574750901</v>
      </c>
      <c r="G145" s="1" t="str">
        <f t="shared" si="2"/>
        <v>Aug-2026</v>
      </c>
    </row>
    <row r="146" spans="1:7" x14ac:dyDescent="0.3">
      <c r="A146" s="6">
        <v>145</v>
      </c>
      <c r="B146" s="2">
        <v>46245</v>
      </c>
      <c r="C146" s="6" t="s">
        <v>20</v>
      </c>
      <c r="D146" s="8" t="s">
        <v>4</v>
      </c>
      <c r="E146" s="7" t="s">
        <v>21</v>
      </c>
      <c r="F146" s="5">
        <v>899.98436583936098</v>
      </c>
      <c r="G146" s="6" t="str">
        <f t="shared" si="2"/>
        <v>Aug-2026</v>
      </c>
    </row>
    <row r="147" spans="1:7" x14ac:dyDescent="0.3">
      <c r="A147" s="1">
        <v>146</v>
      </c>
      <c r="B147" s="2">
        <v>46235</v>
      </c>
      <c r="C147" s="1" t="s">
        <v>10</v>
      </c>
      <c r="D147" s="8" t="s">
        <v>4</v>
      </c>
      <c r="E147" s="4" t="s">
        <v>11</v>
      </c>
      <c r="F147" s="5">
        <v>894.25145593121101</v>
      </c>
      <c r="G147" s="1" t="str">
        <f t="shared" si="2"/>
        <v>Aug-2026</v>
      </c>
    </row>
    <row r="148" spans="1:7" x14ac:dyDescent="0.3">
      <c r="A148" s="6">
        <v>147</v>
      </c>
      <c r="B148" s="2">
        <v>46264</v>
      </c>
      <c r="C148" s="6" t="s">
        <v>3</v>
      </c>
      <c r="D148" s="8" t="s">
        <v>4</v>
      </c>
      <c r="E148" s="7" t="s">
        <v>22</v>
      </c>
      <c r="F148" s="5">
        <v>888.51854602306196</v>
      </c>
      <c r="G148" s="6" t="str">
        <f t="shared" si="2"/>
        <v>Aug-2026</v>
      </c>
    </row>
    <row r="149" spans="1:7" x14ac:dyDescent="0.3">
      <c r="A149" s="1">
        <v>148</v>
      </c>
      <c r="B149" s="2">
        <v>46263</v>
      </c>
      <c r="C149" s="1" t="s">
        <v>8</v>
      </c>
      <c r="D149" s="8" t="s">
        <v>4</v>
      </c>
      <c r="E149" s="4" t="s">
        <v>18</v>
      </c>
      <c r="F149" s="5">
        <v>882.78563611491302</v>
      </c>
      <c r="G149" s="1" t="str">
        <f t="shared" si="2"/>
        <v>Aug-2026</v>
      </c>
    </row>
    <row r="150" spans="1:7" x14ac:dyDescent="0.3">
      <c r="A150" s="6">
        <v>149</v>
      </c>
      <c r="B150" s="2">
        <v>46260</v>
      </c>
      <c r="C150" s="6" t="s">
        <v>3</v>
      </c>
      <c r="D150" s="8" t="s">
        <v>4</v>
      </c>
      <c r="E150" s="7" t="s">
        <v>5</v>
      </c>
      <c r="F150" s="5">
        <v>877.05272620676396</v>
      </c>
      <c r="G150" s="6" t="str">
        <f t="shared" si="2"/>
        <v>Aug-2026</v>
      </c>
    </row>
    <row r="151" spans="1:7" x14ac:dyDescent="0.3">
      <c r="A151" s="1">
        <v>150</v>
      </c>
      <c r="B151" s="2">
        <v>46242</v>
      </c>
      <c r="C151" s="1" t="s">
        <v>12</v>
      </c>
      <c r="D151" s="8" t="s">
        <v>4</v>
      </c>
      <c r="E151" s="4" t="s">
        <v>12</v>
      </c>
      <c r="F151" s="5">
        <v>871.319816298614</v>
      </c>
      <c r="G151" s="1" t="str">
        <f t="shared" si="2"/>
        <v>Aug-2026</v>
      </c>
    </row>
    <row r="152" spans="1:7" x14ac:dyDescent="0.3">
      <c r="A152" s="6">
        <v>151</v>
      </c>
      <c r="B152" s="2">
        <v>46242</v>
      </c>
      <c r="C152" s="6" t="s">
        <v>20</v>
      </c>
      <c r="D152" s="8" t="s">
        <v>4</v>
      </c>
      <c r="E152" s="7" t="s">
        <v>26</v>
      </c>
      <c r="F152" s="5">
        <v>865.58690639046404</v>
      </c>
      <c r="G152" s="6" t="str">
        <f t="shared" si="2"/>
        <v>Aug-2026</v>
      </c>
    </row>
    <row r="153" spans="1:7" x14ac:dyDescent="0.3">
      <c r="A153" s="1">
        <v>152</v>
      </c>
      <c r="B153" s="2">
        <v>46265</v>
      </c>
      <c r="C153" s="1" t="s">
        <v>10</v>
      </c>
      <c r="D153" s="8" t="s">
        <v>4</v>
      </c>
      <c r="E153" s="4" t="s">
        <v>19</v>
      </c>
      <c r="F153" s="5">
        <v>859.85399648231601</v>
      </c>
      <c r="G153" s="1" t="str">
        <f t="shared" si="2"/>
        <v>Aug-2026</v>
      </c>
    </row>
    <row r="154" spans="1:7" x14ac:dyDescent="0.3">
      <c r="A154" s="6">
        <v>153</v>
      </c>
      <c r="B154" s="2">
        <v>46237</v>
      </c>
      <c r="C154" s="6" t="s">
        <v>8</v>
      </c>
      <c r="D154" s="8" t="s">
        <v>4</v>
      </c>
      <c r="E154" s="7" t="s">
        <v>9</v>
      </c>
      <c r="F154" s="5">
        <v>854.12108657416604</v>
      </c>
      <c r="G154" s="6" t="str">
        <f t="shared" si="2"/>
        <v>Aug-2026</v>
      </c>
    </row>
    <row r="155" spans="1:7" x14ac:dyDescent="0.3">
      <c r="A155" s="1">
        <v>154</v>
      </c>
      <c r="B155" s="2">
        <v>46250</v>
      </c>
      <c r="C155" s="1" t="s">
        <v>13</v>
      </c>
      <c r="D155" s="8" t="s">
        <v>4</v>
      </c>
      <c r="E155" s="4" t="s">
        <v>14</v>
      </c>
      <c r="F155" s="5">
        <v>848.38817666601699</v>
      </c>
      <c r="G155" s="1" t="str">
        <f t="shared" si="2"/>
        <v>Aug-2026</v>
      </c>
    </row>
    <row r="156" spans="1:7" x14ac:dyDescent="0.3">
      <c r="A156" s="6">
        <v>155</v>
      </c>
      <c r="B156" s="2">
        <v>46259</v>
      </c>
      <c r="C156" s="6" t="s">
        <v>15</v>
      </c>
      <c r="D156" s="8" t="s">
        <v>4</v>
      </c>
      <c r="E156" s="7" t="s">
        <v>16</v>
      </c>
      <c r="F156" s="5">
        <v>842.65526675786703</v>
      </c>
      <c r="G156" s="6" t="str">
        <f t="shared" si="2"/>
        <v>Aug-2026</v>
      </c>
    </row>
    <row r="157" spans="1:7" x14ac:dyDescent="0.3">
      <c r="A157" s="1">
        <v>156</v>
      </c>
      <c r="B157" s="2">
        <v>46259</v>
      </c>
      <c r="C157" s="1" t="s">
        <v>13</v>
      </c>
      <c r="D157" s="8" t="s">
        <v>4</v>
      </c>
      <c r="E157" s="4" t="s">
        <v>23</v>
      </c>
      <c r="F157" s="5">
        <v>836.92235684971899</v>
      </c>
      <c r="G157" s="1" t="str">
        <f t="shared" si="2"/>
        <v>Aug-2026</v>
      </c>
    </row>
    <row r="158" spans="1:7" x14ac:dyDescent="0.3">
      <c r="A158" s="6">
        <v>157</v>
      </c>
      <c r="B158" s="2">
        <v>46271</v>
      </c>
      <c r="C158" s="6" t="s">
        <v>0</v>
      </c>
      <c r="D158" s="3" t="s">
        <v>0</v>
      </c>
      <c r="E158" s="7" t="s">
        <v>25</v>
      </c>
      <c r="F158" s="5">
        <v>831.18944694156801</v>
      </c>
      <c r="G158" s="6" t="str">
        <f t="shared" si="2"/>
        <v>Sep-2026</v>
      </c>
    </row>
    <row r="159" spans="1:7" x14ac:dyDescent="0.3">
      <c r="A159" s="1">
        <v>158</v>
      </c>
      <c r="B159" s="2">
        <v>46282</v>
      </c>
      <c r="C159" s="1" t="s">
        <v>0</v>
      </c>
      <c r="D159" s="3" t="s">
        <v>0</v>
      </c>
      <c r="E159" s="4" t="s">
        <v>2</v>
      </c>
      <c r="F159" s="5">
        <v>825.45653703341998</v>
      </c>
      <c r="G159" s="1" t="str">
        <f t="shared" si="2"/>
        <v>Sep-2026</v>
      </c>
    </row>
    <row r="160" spans="1:7" x14ac:dyDescent="0.3">
      <c r="A160" s="6">
        <v>159</v>
      </c>
      <c r="B160" s="2">
        <v>46273</v>
      </c>
      <c r="C160" s="6" t="s">
        <v>13</v>
      </c>
      <c r="D160" s="8" t="s">
        <v>4</v>
      </c>
      <c r="E160" s="7" t="s">
        <v>14</v>
      </c>
      <c r="F160" s="5">
        <v>819.72362712527001</v>
      </c>
      <c r="G160" s="6" t="str">
        <f t="shared" si="2"/>
        <v>Sep-2026</v>
      </c>
    </row>
    <row r="161" spans="1:7" x14ac:dyDescent="0.3">
      <c r="A161" s="1">
        <v>160</v>
      </c>
      <c r="B161" s="2">
        <v>46276</v>
      </c>
      <c r="C161" s="1" t="s">
        <v>20</v>
      </c>
      <c r="D161" s="8" t="s">
        <v>4</v>
      </c>
      <c r="E161" s="4" t="s">
        <v>26</v>
      </c>
      <c r="F161" s="5">
        <v>813.99071721712096</v>
      </c>
      <c r="G161" s="1" t="str">
        <f t="shared" si="2"/>
        <v>Sep-2026</v>
      </c>
    </row>
    <row r="162" spans="1:7" x14ac:dyDescent="0.3">
      <c r="A162" s="6">
        <v>161</v>
      </c>
      <c r="B162" s="2">
        <v>46284</v>
      </c>
      <c r="C162" s="6" t="s">
        <v>10</v>
      </c>
      <c r="D162" s="8" t="s">
        <v>4</v>
      </c>
      <c r="E162" s="7" t="s">
        <v>11</v>
      </c>
      <c r="F162" s="5">
        <v>808.25780730897202</v>
      </c>
      <c r="G162" s="6" t="str">
        <f t="shared" si="2"/>
        <v>Sep-2026</v>
      </c>
    </row>
    <row r="163" spans="1:7" x14ac:dyDescent="0.3">
      <c r="A163" s="1">
        <v>162</v>
      </c>
      <c r="B163" s="2">
        <v>46273</v>
      </c>
      <c r="C163" s="1" t="s">
        <v>8</v>
      </c>
      <c r="D163" s="8" t="s">
        <v>4</v>
      </c>
      <c r="E163" s="4" t="s">
        <v>18</v>
      </c>
      <c r="F163" s="5">
        <v>802.52489740082297</v>
      </c>
      <c r="G163" s="1" t="str">
        <f t="shared" si="2"/>
        <v>Sep-2026</v>
      </c>
    </row>
    <row r="164" spans="1:7" x14ac:dyDescent="0.3">
      <c r="A164" s="6">
        <v>163</v>
      </c>
      <c r="B164" s="2">
        <v>46273</v>
      </c>
      <c r="C164" s="6" t="s">
        <v>20</v>
      </c>
      <c r="D164" s="8" t="s">
        <v>4</v>
      </c>
      <c r="E164" s="7" t="s">
        <v>21</v>
      </c>
      <c r="F164" s="5">
        <v>796.79198749267402</v>
      </c>
      <c r="G164" s="6" t="str">
        <f t="shared" si="2"/>
        <v>Sep-2026</v>
      </c>
    </row>
    <row r="165" spans="1:7" x14ac:dyDescent="0.3">
      <c r="A165" s="1">
        <v>164</v>
      </c>
      <c r="B165" s="2">
        <v>46268</v>
      </c>
      <c r="C165" s="1" t="s">
        <v>12</v>
      </c>
      <c r="D165" s="8" t="s">
        <v>4</v>
      </c>
      <c r="E165" s="4" t="s">
        <v>12</v>
      </c>
      <c r="F165" s="5">
        <v>791.05907758452304</v>
      </c>
      <c r="G165" s="1" t="str">
        <f t="shared" si="2"/>
        <v>Sep-2026</v>
      </c>
    </row>
    <row r="166" spans="1:7" x14ac:dyDescent="0.3">
      <c r="A166" s="6">
        <v>165</v>
      </c>
      <c r="B166" s="2">
        <v>46286</v>
      </c>
      <c r="C166" s="6" t="s">
        <v>13</v>
      </c>
      <c r="D166" s="8" t="s">
        <v>4</v>
      </c>
      <c r="E166" s="7" t="s">
        <v>23</v>
      </c>
      <c r="F166" s="5">
        <v>785.32616767637501</v>
      </c>
      <c r="G166" s="6" t="str">
        <f t="shared" si="2"/>
        <v>Sep-2026</v>
      </c>
    </row>
    <row r="167" spans="1:7" x14ac:dyDescent="0.3">
      <c r="A167" s="1">
        <v>166</v>
      </c>
      <c r="B167" s="2">
        <v>46273</v>
      </c>
      <c r="C167" s="1" t="s">
        <v>6</v>
      </c>
      <c r="D167" s="8" t="s">
        <v>4</v>
      </c>
      <c r="E167" s="4" t="s">
        <v>7</v>
      </c>
      <c r="F167" s="5">
        <v>779.59325776822504</v>
      </c>
      <c r="G167" s="1" t="str">
        <f t="shared" si="2"/>
        <v>Sep-2026</v>
      </c>
    </row>
    <row r="168" spans="1:7" x14ac:dyDescent="0.3">
      <c r="A168" s="6">
        <v>167</v>
      </c>
      <c r="B168" s="2">
        <v>46294</v>
      </c>
      <c r="C168" s="6" t="s">
        <v>10</v>
      </c>
      <c r="D168" s="8" t="s">
        <v>4</v>
      </c>
      <c r="E168" s="7" t="s">
        <v>19</v>
      </c>
      <c r="F168" s="5">
        <v>773.86034786007599</v>
      </c>
      <c r="G168" s="6" t="str">
        <f t="shared" si="2"/>
        <v>Sep-2026</v>
      </c>
    </row>
    <row r="169" spans="1:7" x14ac:dyDescent="0.3">
      <c r="A169" s="1">
        <v>168</v>
      </c>
      <c r="B169" s="2">
        <v>46293</v>
      </c>
      <c r="C169" s="1" t="s">
        <v>8</v>
      </c>
      <c r="D169" s="8" t="s">
        <v>4</v>
      </c>
      <c r="E169" s="4" t="s">
        <v>9</v>
      </c>
      <c r="F169" s="5">
        <v>768.12743795192603</v>
      </c>
      <c r="G169" s="1" t="str">
        <f t="shared" si="2"/>
        <v>Sep-2026</v>
      </c>
    </row>
    <row r="170" spans="1:7" x14ac:dyDescent="0.3">
      <c r="A170" s="6">
        <v>169</v>
      </c>
      <c r="B170" s="2">
        <v>46268</v>
      </c>
      <c r="C170" s="6" t="s">
        <v>15</v>
      </c>
      <c r="D170" s="8" t="s">
        <v>4</v>
      </c>
      <c r="E170" s="7" t="s">
        <v>16</v>
      </c>
      <c r="F170" s="5">
        <v>762.394528043778</v>
      </c>
      <c r="G170" s="6" t="str">
        <f t="shared" si="2"/>
        <v>Sep-2026</v>
      </c>
    </row>
    <row r="171" spans="1:7" x14ac:dyDescent="0.3">
      <c r="A171" s="1">
        <v>170</v>
      </c>
      <c r="B171" s="2">
        <v>46273</v>
      </c>
      <c r="C171" s="1" t="s">
        <v>13</v>
      </c>
      <c r="D171" s="8" t="s">
        <v>4</v>
      </c>
      <c r="E171" s="4" t="s">
        <v>17</v>
      </c>
      <c r="F171" s="5">
        <v>756.66161813562803</v>
      </c>
      <c r="G171" s="1" t="str">
        <f t="shared" si="2"/>
        <v>Sep-2026</v>
      </c>
    </row>
    <row r="172" spans="1:7" x14ac:dyDescent="0.3">
      <c r="A172" s="1">
        <v>171</v>
      </c>
      <c r="B172" s="2">
        <v>46121</v>
      </c>
      <c r="C172" s="1" t="s">
        <v>0</v>
      </c>
      <c r="D172" s="3" t="s">
        <v>0</v>
      </c>
      <c r="E172" s="4" t="s">
        <v>1</v>
      </c>
      <c r="F172" s="5">
        <v>750.92870822747898</v>
      </c>
      <c r="G172" s="1" t="str">
        <f t="shared" si="2"/>
        <v>Apr-2026</v>
      </c>
    </row>
    <row r="173" spans="1:7" x14ac:dyDescent="0.3">
      <c r="A173" s="6">
        <v>172</v>
      </c>
      <c r="B173" s="2">
        <v>46120</v>
      </c>
      <c r="C173" s="6" t="s">
        <v>0</v>
      </c>
      <c r="D173" s="3" t="s">
        <v>0</v>
      </c>
      <c r="E173" s="7" t="s">
        <v>2</v>
      </c>
      <c r="F173" s="5">
        <v>745.19579831932901</v>
      </c>
      <c r="G173" s="6" t="str">
        <f t="shared" si="2"/>
        <v>Apr-2026</v>
      </c>
    </row>
    <row r="174" spans="1:7" x14ac:dyDescent="0.3">
      <c r="A174" s="1">
        <v>173</v>
      </c>
      <c r="B174" s="2">
        <v>46132</v>
      </c>
      <c r="C174" s="1" t="s">
        <v>3</v>
      </c>
      <c r="D174" s="8" t="s">
        <v>4</v>
      </c>
      <c r="E174" s="4" t="s">
        <v>5</v>
      </c>
      <c r="F174" s="5">
        <v>739.46288841118098</v>
      </c>
      <c r="G174" s="1" t="str">
        <f t="shared" si="2"/>
        <v>Apr-2026</v>
      </c>
    </row>
    <row r="175" spans="1:7" x14ac:dyDescent="0.3">
      <c r="A175" s="6">
        <v>174</v>
      </c>
      <c r="B175" s="2">
        <v>46130</v>
      </c>
      <c r="C175" s="6" t="s">
        <v>6</v>
      </c>
      <c r="D175" s="8" t="s">
        <v>4</v>
      </c>
      <c r="E175" s="7" t="s">
        <v>7</v>
      </c>
      <c r="F175" s="5">
        <v>733.72997850303102</v>
      </c>
      <c r="G175" s="6" t="str">
        <f t="shared" si="2"/>
        <v>Apr-2026</v>
      </c>
    </row>
    <row r="176" spans="1:7" x14ac:dyDescent="0.3">
      <c r="A176" s="1">
        <v>175</v>
      </c>
      <c r="B176" s="2">
        <v>46135</v>
      </c>
      <c r="C176" s="1" t="s">
        <v>8</v>
      </c>
      <c r="D176" s="8" t="s">
        <v>4</v>
      </c>
      <c r="E176" s="4" t="s">
        <v>9</v>
      </c>
      <c r="F176" s="5">
        <v>727.99706859488197</v>
      </c>
      <c r="G176" s="1" t="str">
        <f t="shared" si="2"/>
        <v>Apr-2026</v>
      </c>
    </row>
    <row r="177" spans="1:7" x14ac:dyDescent="0.3">
      <c r="A177" s="6">
        <v>176</v>
      </c>
      <c r="B177" s="2">
        <v>46135</v>
      </c>
      <c r="C177" s="6" t="s">
        <v>10</v>
      </c>
      <c r="D177" s="8" t="s">
        <v>4</v>
      </c>
      <c r="E177" s="7" t="s">
        <v>11</v>
      </c>
      <c r="F177" s="5">
        <v>722.26415868672802</v>
      </c>
      <c r="G177" s="6" t="str">
        <f t="shared" si="2"/>
        <v>Apr-2026</v>
      </c>
    </row>
    <row r="178" spans="1:7" x14ac:dyDescent="0.3">
      <c r="A178" s="1">
        <v>177</v>
      </c>
      <c r="B178" s="2">
        <v>46126</v>
      </c>
      <c r="C178" s="1" t="s">
        <v>12</v>
      </c>
      <c r="D178" s="8" t="s">
        <v>4</v>
      </c>
      <c r="E178" s="4" t="s">
        <v>12</v>
      </c>
      <c r="F178" s="5">
        <v>716.53124877857897</v>
      </c>
      <c r="G178" s="1" t="str">
        <f t="shared" si="2"/>
        <v>Apr-2026</v>
      </c>
    </row>
    <row r="179" spans="1:7" x14ac:dyDescent="0.3">
      <c r="A179" s="6">
        <v>178</v>
      </c>
      <c r="B179" s="2">
        <v>46127</v>
      </c>
      <c r="C179" s="6" t="s">
        <v>13</v>
      </c>
      <c r="D179" s="8" t="s">
        <v>4</v>
      </c>
      <c r="E179" s="7" t="s">
        <v>14</v>
      </c>
      <c r="F179" s="5">
        <v>710.79833887043901</v>
      </c>
      <c r="G179" s="6" t="str">
        <f t="shared" si="2"/>
        <v>Apr-2026</v>
      </c>
    </row>
    <row r="180" spans="1:7" x14ac:dyDescent="0.3">
      <c r="A180" s="1">
        <v>179</v>
      </c>
      <c r="B180" s="2">
        <v>46121</v>
      </c>
      <c r="C180" s="1" t="s">
        <v>15</v>
      </c>
      <c r="D180" s="8" t="s">
        <v>4</v>
      </c>
      <c r="E180" s="4" t="s">
        <v>16</v>
      </c>
      <c r="F180" s="5">
        <v>705.06542896228802</v>
      </c>
      <c r="G180" s="1" t="str">
        <f t="shared" si="2"/>
        <v>Apr-2026</v>
      </c>
    </row>
    <row r="181" spans="1:7" x14ac:dyDescent="0.3">
      <c r="A181" s="6">
        <v>180</v>
      </c>
      <c r="B181" s="2">
        <v>46140</v>
      </c>
      <c r="C181" s="6" t="s">
        <v>13</v>
      </c>
      <c r="D181" s="8" t="s">
        <v>4</v>
      </c>
      <c r="E181" s="7" t="s">
        <v>17</v>
      </c>
      <c r="F181" s="5">
        <v>699.33251905413795</v>
      </c>
      <c r="G181" s="6" t="str">
        <f t="shared" si="2"/>
        <v>Apr-2026</v>
      </c>
    </row>
    <row r="182" spans="1:7" x14ac:dyDescent="0.3">
      <c r="A182" s="1">
        <v>181</v>
      </c>
      <c r="B182" s="2">
        <v>46137</v>
      </c>
      <c r="C182" s="1" t="s">
        <v>8</v>
      </c>
      <c r="D182" s="8" t="s">
        <v>4</v>
      </c>
      <c r="E182" s="4" t="s">
        <v>18</v>
      </c>
      <c r="F182" s="5">
        <v>693.59960914598901</v>
      </c>
      <c r="G182" s="1" t="str">
        <f t="shared" si="2"/>
        <v>Apr-2026</v>
      </c>
    </row>
    <row r="183" spans="1:7" x14ac:dyDescent="0.3">
      <c r="A183" s="6">
        <v>182</v>
      </c>
      <c r="B183" s="2">
        <v>46118</v>
      </c>
      <c r="C183" s="6" t="s">
        <v>10</v>
      </c>
      <c r="D183" s="8" t="s">
        <v>4</v>
      </c>
      <c r="E183" s="7" t="s">
        <v>19</v>
      </c>
      <c r="F183" s="5">
        <v>687.86669923783802</v>
      </c>
      <c r="G183" s="6" t="str">
        <f t="shared" si="2"/>
        <v>Apr-2026</v>
      </c>
    </row>
    <row r="184" spans="1:7" x14ac:dyDescent="0.3">
      <c r="A184" s="1">
        <v>183</v>
      </c>
      <c r="B184" s="2">
        <v>46126</v>
      </c>
      <c r="C184" s="1" t="s">
        <v>20</v>
      </c>
      <c r="D184" s="8" t="s">
        <v>4</v>
      </c>
      <c r="E184" s="4" t="s">
        <v>21</v>
      </c>
      <c r="F184" s="5">
        <v>682.13378932968897</v>
      </c>
      <c r="G184" s="1" t="str">
        <f t="shared" si="2"/>
        <v>Apr-2026</v>
      </c>
    </row>
    <row r="185" spans="1:7" x14ac:dyDescent="0.3">
      <c r="A185" s="6">
        <v>184</v>
      </c>
      <c r="B185" s="2">
        <v>46121</v>
      </c>
      <c r="C185" s="6" t="s">
        <v>3</v>
      </c>
      <c r="D185" s="8" t="s">
        <v>4</v>
      </c>
      <c r="E185" s="7" t="s">
        <v>22</v>
      </c>
      <c r="F185" s="5">
        <v>676.400879421539</v>
      </c>
      <c r="G185" s="6" t="str">
        <f t="shared" si="2"/>
        <v>Apr-2026</v>
      </c>
    </row>
    <row r="186" spans="1:7" x14ac:dyDescent="0.3">
      <c r="A186" s="1">
        <v>185</v>
      </c>
      <c r="B186" s="2">
        <v>46145</v>
      </c>
      <c r="C186" s="1" t="s">
        <v>0</v>
      </c>
      <c r="D186" s="3" t="s">
        <v>0</v>
      </c>
      <c r="E186" s="4" t="s">
        <v>2</v>
      </c>
      <c r="F186" s="5">
        <v>670.66796951338802</v>
      </c>
      <c r="G186" s="1" t="str">
        <f t="shared" si="2"/>
        <v>May-2026</v>
      </c>
    </row>
    <row r="187" spans="1:7" x14ac:dyDescent="0.3">
      <c r="A187" s="6">
        <v>186</v>
      </c>
      <c r="B187" s="2">
        <v>46146</v>
      </c>
      <c r="C187" s="6" t="s">
        <v>0</v>
      </c>
      <c r="D187" s="3" t="s">
        <v>0</v>
      </c>
      <c r="E187" s="7" t="s">
        <v>1</v>
      </c>
      <c r="F187" s="5">
        <v>664.93505960523896</v>
      </c>
      <c r="G187" s="6" t="str">
        <f t="shared" si="2"/>
        <v>May-2026</v>
      </c>
    </row>
    <row r="188" spans="1:7" x14ac:dyDescent="0.3">
      <c r="A188" s="1">
        <v>187</v>
      </c>
      <c r="B188" s="2">
        <v>46161</v>
      </c>
      <c r="C188" s="1" t="s">
        <v>10</v>
      </c>
      <c r="D188" s="8" t="s">
        <v>4</v>
      </c>
      <c r="E188" s="4" t="s">
        <v>19</v>
      </c>
      <c r="F188" s="5">
        <v>659.202149697089</v>
      </c>
      <c r="G188" s="1" t="str">
        <f t="shared" si="2"/>
        <v>May-2026</v>
      </c>
    </row>
    <row r="189" spans="1:7" x14ac:dyDescent="0.3">
      <c r="A189" s="6">
        <v>188</v>
      </c>
      <c r="B189" s="2">
        <v>46165</v>
      </c>
      <c r="C189" s="6" t="s">
        <v>20</v>
      </c>
      <c r="D189" s="8" t="s">
        <v>4</v>
      </c>
      <c r="E189" s="7" t="s">
        <v>21</v>
      </c>
      <c r="F189" s="5">
        <v>653.46923978893801</v>
      </c>
      <c r="G189" s="6" t="str">
        <f t="shared" si="2"/>
        <v>May-2026</v>
      </c>
    </row>
    <row r="190" spans="1:7" x14ac:dyDescent="0.3">
      <c r="A190" s="1">
        <v>189</v>
      </c>
      <c r="B190" s="2">
        <v>46144</v>
      </c>
      <c r="C190" s="1" t="s">
        <v>15</v>
      </c>
      <c r="D190" s="8" t="s">
        <v>4</v>
      </c>
      <c r="E190" s="4" t="s">
        <v>16</v>
      </c>
      <c r="F190" s="5">
        <v>647.73632988078896</v>
      </c>
      <c r="G190" s="1" t="str">
        <f t="shared" si="2"/>
        <v>May-2026</v>
      </c>
    </row>
    <row r="191" spans="1:7" x14ac:dyDescent="0.3">
      <c r="A191" s="6">
        <v>190</v>
      </c>
      <c r="B191" s="2">
        <v>46150</v>
      </c>
      <c r="C191" s="6" t="s">
        <v>13</v>
      </c>
      <c r="D191" s="8" t="s">
        <v>4</v>
      </c>
      <c r="E191" s="7" t="s">
        <v>17</v>
      </c>
      <c r="F191" s="5">
        <v>642.00341997263899</v>
      </c>
      <c r="G191" s="6" t="str">
        <f t="shared" si="2"/>
        <v>May-2026</v>
      </c>
    </row>
    <row r="192" spans="1:7" x14ac:dyDescent="0.3">
      <c r="A192" s="1">
        <v>191</v>
      </c>
      <c r="B192" s="2">
        <v>46152</v>
      </c>
      <c r="C192" s="1" t="s">
        <v>10</v>
      </c>
      <c r="D192" s="8" t="s">
        <v>4</v>
      </c>
      <c r="E192" s="4" t="s">
        <v>11</v>
      </c>
      <c r="F192" s="5">
        <v>636.27051006448801</v>
      </c>
      <c r="G192" s="1" t="str">
        <f t="shared" si="2"/>
        <v>May-2026</v>
      </c>
    </row>
    <row r="193" spans="1:7" x14ac:dyDescent="0.3">
      <c r="A193" s="6">
        <v>192</v>
      </c>
      <c r="B193" s="2">
        <v>46170</v>
      </c>
      <c r="C193" s="6" t="s">
        <v>3</v>
      </c>
      <c r="D193" s="8" t="s">
        <v>4</v>
      </c>
      <c r="E193" s="7" t="s">
        <v>5</v>
      </c>
      <c r="F193" s="5">
        <v>630.53760015634896</v>
      </c>
      <c r="G193" s="6" t="str">
        <f t="shared" si="2"/>
        <v>May-2026</v>
      </c>
    </row>
    <row r="194" spans="1:7" x14ac:dyDescent="0.3">
      <c r="A194" s="1">
        <v>193</v>
      </c>
      <c r="B194" s="2">
        <v>46170</v>
      </c>
      <c r="C194" s="1" t="s">
        <v>13</v>
      </c>
      <c r="D194" s="8" t="s">
        <v>4</v>
      </c>
      <c r="E194" s="4" t="s">
        <v>14</v>
      </c>
      <c r="F194" s="5">
        <v>624.80469024819899</v>
      </c>
      <c r="G194" s="1" t="str">
        <f t="shared" ref="G194:G257" si="3">TEXT(B194,"mmm-yyyy")</f>
        <v>May-2026</v>
      </c>
    </row>
    <row r="195" spans="1:7" x14ac:dyDescent="0.3">
      <c r="A195" s="6">
        <v>194</v>
      </c>
      <c r="B195" s="2">
        <v>46155</v>
      </c>
      <c r="C195" s="6" t="s">
        <v>8</v>
      </c>
      <c r="D195" s="8" t="s">
        <v>4</v>
      </c>
      <c r="E195" s="7" t="s">
        <v>9</v>
      </c>
      <c r="F195" s="5">
        <v>619.07178034004801</v>
      </c>
      <c r="G195" s="6" t="str">
        <f t="shared" si="3"/>
        <v>May-2026</v>
      </c>
    </row>
    <row r="196" spans="1:7" x14ac:dyDescent="0.3">
      <c r="A196" s="1">
        <v>195</v>
      </c>
      <c r="B196" s="2">
        <v>46157</v>
      </c>
      <c r="C196" s="1" t="s">
        <v>8</v>
      </c>
      <c r="D196" s="8" t="s">
        <v>4</v>
      </c>
      <c r="E196" s="4" t="s">
        <v>18</v>
      </c>
      <c r="F196" s="5">
        <v>613.33887043189895</v>
      </c>
      <c r="G196" s="1" t="str">
        <f t="shared" si="3"/>
        <v>May-2026</v>
      </c>
    </row>
    <row r="197" spans="1:7" x14ac:dyDescent="0.3">
      <c r="A197" s="6">
        <v>196</v>
      </c>
      <c r="B197" s="2">
        <v>46169</v>
      </c>
      <c r="C197" s="6" t="s">
        <v>3</v>
      </c>
      <c r="D197" s="8" t="s">
        <v>4</v>
      </c>
      <c r="E197" s="7" t="s">
        <v>22</v>
      </c>
      <c r="F197" s="5">
        <v>607.60596052374899</v>
      </c>
      <c r="G197" s="6" t="str">
        <f t="shared" si="3"/>
        <v>May-2026</v>
      </c>
    </row>
    <row r="198" spans="1:7" x14ac:dyDescent="0.3">
      <c r="A198" s="1">
        <v>197</v>
      </c>
      <c r="B198" s="2">
        <v>46148</v>
      </c>
      <c r="C198" s="1" t="s">
        <v>13</v>
      </c>
      <c r="D198" s="8" t="s">
        <v>4</v>
      </c>
      <c r="E198" s="4" t="s">
        <v>23</v>
      </c>
      <c r="F198" s="5">
        <v>601.873050615598</v>
      </c>
      <c r="G198" s="1" t="str">
        <f t="shared" si="3"/>
        <v>May-2026</v>
      </c>
    </row>
    <row r="199" spans="1:7" x14ac:dyDescent="0.3">
      <c r="A199" s="6">
        <v>198</v>
      </c>
      <c r="B199" s="2">
        <v>46196</v>
      </c>
      <c r="C199" s="6" t="s">
        <v>0</v>
      </c>
      <c r="D199" s="3" t="s">
        <v>0</v>
      </c>
      <c r="E199" s="7" t="s">
        <v>24</v>
      </c>
      <c r="F199" s="5">
        <v>596.14014070744895</v>
      </c>
      <c r="G199" s="6" t="str">
        <f t="shared" si="3"/>
        <v>Jun-2026</v>
      </c>
    </row>
    <row r="200" spans="1:7" x14ac:dyDescent="0.3">
      <c r="A200" s="1">
        <v>199</v>
      </c>
      <c r="B200" s="2">
        <v>46195</v>
      </c>
      <c r="C200" s="1" t="s">
        <v>0</v>
      </c>
      <c r="D200" s="3" t="s">
        <v>0</v>
      </c>
      <c r="E200" s="4" t="s">
        <v>2</v>
      </c>
      <c r="F200" s="5">
        <v>590.40723079929899</v>
      </c>
      <c r="G200" s="1" t="str">
        <f t="shared" si="3"/>
        <v>Jun-2026</v>
      </c>
    </row>
    <row r="201" spans="1:7" x14ac:dyDescent="0.3">
      <c r="A201" s="6">
        <v>200</v>
      </c>
      <c r="B201" s="2">
        <v>46176</v>
      </c>
      <c r="C201" s="6" t="s">
        <v>0</v>
      </c>
      <c r="D201" s="3" t="s">
        <v>0</v>
      </c>
      <c r="E201" s="7" t="s">
        <v>25</v>
      </c>
      <c r="F201" s="5">
        <v>584.674320891148</v>
      </c>
      <c r="G201" s="6" t="str">
        <f t="shared" si="3"/>
        <v>Jun-2026</v>
      </c>
    </row>
    <row r="202" spans="1:7" x14ac:dyDescent="0.3">
      <c r="A202" s="1">
        <v>201</v>
      </c>
      <c r="B202" s="2">
        <v>46184</v>
      </c>
      <c r="C202" s="1" t="s">
        <v>3</v>
      </c>
      <c r="D202" s="8" t="s">
        <v>4</v>
      </c>
      <c r="E202" s="4" t="s">
        <v>22</v>
      </c>
      <c r="F202" s="5">
        <v>578.94141098299895</v>
      </c>
      <c r="G202" s="1" t="str">
        <f t="shared" si="3"/>
        <v>Jun-2026</v>
      </c>
    </row>
    <row r="203" spans="1:7" x14ac:dyDescent="0.3">
      <c r="A203" s="6">
        <v>202</v>
      </c>
      <c r="B203" s="2">
        <v>46181</v>
      </c>
      <c r="C203" s="6" t="s">
        <v>10</v>
      </c>
      <c r="D203" s="8" t="s">
        <v>4</v>
      </c>
      <c r="E203" s="7" t="s">
        <v>11</v>
      </c>
      <c r="F203" s="5">
        <v>573.20850107484898</v>
      </c>
      <c r="G203" s="6" t="str">
        <f t="shared" si="3"/>
        <v>Jun-2026</v>
      </c>
    </row>
    <row r="204" spans="1:7" x14ac:dyDescent="0.3">
      <c r="A204" s="1">
        <v>203</v>
      </c>
      <c r="B204" s="2">
        <v>46199</v>
      </c>
      <c r="C204" s="1" t="s">
        <v>8</v>
      </c>
      <c r="D204" s="8" t="s">
        <v>4</v>
      </c>
      <c r="E204" s="4" t="s">
        <v>9</v>
      </c>
      <c r="F204" s="5">
        <v>567.475591166698</v>
      </c>
      <c r="G204" s="1" t="str">
        <f t="shared" si="3"/>
        <v>Jun-2026</v>
      </c>
    </row>
    <row r="205" spans="1:7" x14ac:dyDescent="0.3">
      <c r="A205" s="6">
        <v>204</v>
      </c>
      <c r="B205" s="2">
        <v>46186</v>
      </c>
      <c r="C205" s="6" t="s">
        <v>20</v>
      </c>
      <c r="D205" s="8" t="s">
        <v>4</v>
      </c>
      <c r="E205" s="7" t="s">
        <v>26</v>
      </c>
      <c r="F205" s="5">
        <v>561.74268125854906</v>
      </c>
      <c r="G205" s="6" t="str">
        <f t="shared" si="3"/>
        <v>Jun-2026</v>
      </c>
    </row>
    <row r="206" spans="1:7" x14ac:dyDescent="0.3">
      <c r="A206" s="1">
        <v>205</v>
      </c>
      <c r="B206" s="2">
        <v>46176</v>
      </c>
      <c r="C206" s="1" t="s">
        <v>12</v>
      </c>
      <c r="D206" s="8" t="s">
        <v>4</v>
      </c>
      <c r="E206" s="4" t="s">
        <v>12</v>
      </c>
      <c r="F206" s="5">
        <v>556.00977135039898</v>
      </c>
      <c r="G206" s="1" t="str">
        <f t="shared" si="3"/>
        <v>Jun-2026</v>
      </c>
    </row>
    <row r="207" spans="1:7" x14ac:dyDescent="0.3">
      <c r="A207" s="6">
        <v>206</v>
      </c>
      <c r="B207" s="2">
        <v>46203</v>
      </c>
      <c r="C207" s="6" t="s">
        <v>13</v>
      </c>
      <c r="D207" s="8" t="s">
        <v>4</v>
      </c>
      <c r="E207" s="7" t="s">
        <v>17</v>
      </c>
      <c r="F207" s="5">
        <v>550.27686144224799</v>
      </c>
      <c r="G207" s="6" t="str">
        <f t="shared" si="3"/>
        <v>Jun-2026</v>
      </c>
    </row>
    <row r="208" spans="1:7" x14ac:dyDescent="0.3">
      <c r="A208" s="1">
        <v>207</v>
      </c>
      <c r="B208" s="2">
        <v>46202</v>
      </c>
      <c r="C208" s="1" t="s">
        <v>13</v>
      </c>
      <c r="D208" s="8" t="s">
        <v>4</v>
      </c>
      <c r="E208" s="4" t="s">
        <v>14</v>
      </c>
      <c r="F208" s="5">
        <v>544.54395153410906</v>
      </c>
      <c r="G208" s="1" t="str">
        <f t="shared" si="3"/>
        <v>Jun-2026</v>
      </c>
    </row>
    <row r="209" spans="1:7" x14ac:dyDescent="0.3">
      <c r="A209" s="6">
        <v>208</v>
      </c>
      <c r="B209" s="2">
        <v>46184</v>
      </c>
      <c r="C209" s="6" t="s">
        <v>10</v>
      </c>
      <c r="D209" s="8" t="s">
        <v>4</v>
      </c>
      <c r="E209" s="7" t="s">
        <v>19</v>
      </c>
      <c r="F209" s="5">
        <v>538.81104162595898</v>
      </c>
      <c r="G209" s="6" t="str">
        <f t="shared" si="3"/>
        <v>Jun-2026</v>
      </c>
    </row>
    <row r="210" spans="1:7" x14ac:dyDescent="0.3">
      <c r="A210" s="1">
        <v>209</v>
      </c>
      <c r="B210" s="2">
        <v>46194</v>
      </c>
      <c r="C210" s="1" t="s">
        <v>13</v>
      </c>
      <c r="D210" s="8" t="s">
        <v>4</v>
      </c>
      <c r="E210" s="4" t="s">
        <v>23</v>
      </c>
      <c r="F210" s="5">
        <v>533.07813171780799</v>
      </c>
      <c r="G210" s="1" t="str">
        <f t="shared" si="3"/>
        <v>Jun-2026</v>
      </c>
    </row>
    <row r="211" spans="1:7" x14ac:dyDescent="0.3">
      <c r="A211" s="6">
        <v>210</v>
      </c>
      <c r="B211" s="2">
        <v>46186</v>
      </c>
      <c r="C211" s="6" t="s">
        <v>20</v>
      </c>
      <c r="D211" s="8" t="s">
        <v>4</v>
      </c>
      <c r="E211" s="7" t="s">
        <v>21</v>
      </c>
      <c r="F211" s="5">
        <v>527.34522180965905</v>
      </c>
      <c r="G211" s="6" t="str">
        <f t="shared" si="3"/>
        <v>Jun-2026</v>
      </c>
    </row>
    <row r="212" spans="1:7" x14ac:dyDescent="0.3">
      <c r="A212" s="1">
        <v>211</v>
      </c>
      <c r="B212" s="2">
        <v>46203</v>
      </c>
      <c r="C212" s="1" t="s">
        <v>3</v>
      </c>
      <c r="D212" s="8" t="s">
        <v>4</v>
      </c>
      <c r="E212" s="4" t="s">
        <v>5</v>
      </c>
      <c r="F212" s="5">
        <v>521.61231190150897</v>
      </c>
      <c r="G212" s="1" t="str">
        <f t="shared" si="3"/>
        <v>Jun-2026</v>
      </c>
    </row>
    <row r="213" spans="1:7" x14ac:dyDescent="0.3">
      <c r="A213" s="6">
        <v>212</v>
      </c>
      <c r="B213" s="2">
        <v>46188</v>
      </c>
      <c r="C213" s="6" t="s">
        <v>8</v>
      </c>
      <c r="D213" s="8" t="s">
        <v>4</v>
      </c>
      <c r="E213" s="7" t="s">
        <v>18</v>
      </c>
      <c r="F213" s="5">
        <v>515.87940199335799</v>
      </c>
      <c r="G213" s="6" t="str">
        <f t="shared" si="3"/>
        <v>Jun-2026</v>
      </c>
    </row>
    <row r="214" spans="1:7" x14ac:dyDescent="0.3">
      <c r="A214" s="1">
        <v>213</v>
      </c>
      <c r="B214" s="2">
        <v>46227</v>
      </c>
      <c r="C214" s="1" t="s">
        <v>0</v>
      </c>
      <c r="D214" s="3" t="s">
        <v>0</v>
      </c>
      <c r="E214" s="4" t="s">
        <v>24</v>
      </c>
      <c r="F214" s="5">
        <v>510.14649208520899</v>
      </c>
      <c r="G214" s="1" t="str">
        <f t="shared" si="3"/>
        <v>Jul-2026</v>
      </c>
    </row>
    <row r="215" spans="1:7" x14ac:dyDescent="0.3">
      <c r="A215" s="6">
        <v>214</v>
      </c>
      <c r="B215" s="2">
        <v>46217</v>
      </c>
      <c r="C215" s="6" t="s">
        <v>0</v>
      </c>
      <c r="D215" s="3" t="s">
        <v>0</v>
      </c>
      <c r="E215" s="7" t="s">
        <v>1</v>
      </c>
      <c r="F215" s="5">
        <v>504.41358217705903</v>
      </c>
      <c r="G215" s="6" t="str">
        <f t="shared" si="3"/>
        <v>Jul-2026</v>
      </c>
    </row>
    <row r="216" spans="1:7" x14ac:dyDescent="0.3">
      <c r="A216" s="1">
        <v>215</v>
      </c>
      <c r="B216" s="2">
        <v>46222</v>
      </c>
      <c r="C216" s="1" t="s">
        <v>0</v>
      </c>
      <c r="D216" s="3" t="s">
        <v>0</v>
      </c>
      <c r="E216" s="4" t="s">
        <v>25</v>
      </c>
      <c r="F216" s="5">
        <v>498.68067226890798</v>
      </c>
      <c r="G216" s="1" t="str">
        <f t="shared" si="3"/>
        <v>Jul-2026</v>
      </c>
    </row>
    <row r="217" spans="1:7" x14ac:dyDescent="0.3">
      <c r="A217" s="6">
        <v>216</v>
      </c>
      <c r="B217" s="2">
        <v>46223</v>
      </c>
      <c r="C217" s="6" t="s">
        <v>20</v>
      </c>
      <c r="D217" s="8" t="s">
        <v>4</v>
      </c>
      <c r="E217" s="7" t="s">
        <v>26</v>
      </c>
      <c r="F217" s="5">
        <v>492.94776236075899</v>
      </c>
      <c r="G217" s="6" t="str">
        <f t="shared" si="3"/>
        <v>Jul-2026</v>
      </c>
    </row>
    <row r="218" spans="1:7" x14ac:dyDescent="0.3">
      <c r="A218" s="1">
        <v>217</v>
      </c>
      <c r="B218" s="2">
        <v>46216</v>
      </c>
      <c r="C218" s="1" t="s">
        <v>3</v>
      </c>
      <c r="D218" s="8" t="s">
        <v>4</v>
      </c>
      <c r="E218" s="4" t="s">
        <v>22</v>
      </c>
      <c r="F218" s="5">
        <v>487.21485245260902</v>
      </c>
      <c r="G218" s="1" t="str">
        <f t="shared" si="3"/>
        <v>Jul-2026</v>
      </c>
    </row>
    <row r="219" spans="1:7" x14ac:dyDescent="0.3">
      <c r="A219" s="6">
        <v>218</v>
      </c>
      <c r="B219" s="2">
        <v>46223</v>
      </c>
      <c r="C219" s="6" t="s">
        <v>10</v>
      </c>
      <c r="D219" s="8" t="s">
        <v>4</v>
      </c>
      <c r="E219" s="7" t="s">
        <v>11</v>
      </c>
      <c r="F219" s="5">
        <v>481.48194254445798</v>
      </c>
      <c r="G219" s="6" t="str">
        <f t="shared" si="3"/>
        <v>Jul-2026</v>
      </c>
    </row>
    <row r="220" spans="1:7" x14ac:dyDescent="0.3">
      <c r="A220" s="1">
        <v>219</v>
      </c>
      <c r="B220" s="2">
        <v>46220</v>
      </c>
      <c r="C220" s="1" t="s">
        <v>13</v>
      </c>
      <c r="D220" s="8" t="s">
        <v>4</v>
      </c>
      <c r="E220" s="4" t="s">
        <v>17</v>
      </c>
      <c r="F220" s="5">
        <v>475.74903263630898</v>
      </c>
      <c r="G220" s="1" t="str">
        <f t="shared" si="3"/>
        <v>Jul-2026</v>
      </c>
    </row>
    <row r="221" spans="1:7" x14ac:dyDescent="0.3">
      <c r="A221" s="6">
        <v>220</v>
      </c>
      <c r="B221" s="2">
        <v>46221</v>
      </c>
      <c r="C221" s="6" t="s">
        <v>3</v>
      </c>
      <c r="D221" s="8" t="s">
        <v>4</v>
      </c>
      <c r="E221" s="7" t="s">
        <v>5</v>
      </c>
      <c r="F221" s="5">
        <v>470.01612272815902</v>
      </c>
      <c r="G221" s="6" t="str">
        <f t="shared" si="3"/>
        <v>Jul-2026</v>
      </c>
    </row>
    <row r="222" spans="1:7" x14ac:dyDescent="0.3">
      <c r="A222" s="1">
        <v>221</v>
      </c>
      <c r="B222" s="2">
        <v>46234</v>
      </c>
      <c r="C222" s="1" t="s">
        <v>15</v>
      </c>
      <c r="D222" s="8" t="s">
        <v>4</v>
      </c>
      <c r="E222" s="4" t="s">
        <v>16</v>
      </c>
      <c r="F222" s="5">
        <v>464.28321282001798</v>
      </c>
      <c r="G222" s="1" t="str">
        <f t="shared" si="3"/>
        <v>Jul-2026</v>
      </c>
    </row>
    <row r="223" spans="1:7" x14ac:dyDescent="0.3">
      <c r="A223" s="6">
        <v>222</v>
      </c>
      <c r="B223" s="2">
        <v>46225</v>
      </c>
      <c r="C223" s="6" t="s">
        <v>10</v>
      </c>
      <c r="D223" s="8" t="s">
        <v>4</v>
      </c>
      <c r="E223" s="7" t="s">
        <v>19</v>
      </c>
      <c r="F223" s="5">
        <v>458.55030291186898</v>
      </c>
      <c r="G223" s="6" t="str">
        <f t="shared" si="3"/>
        <v>Jul-2026</v>
      </c>
    </row>
    <row r="224" spans="1:7" x14ac:dyDescent="0.3">
      <c r="A224" s="1">
        <v>223</v>
      </c>
      <c r="B224" s="2">
        <v>46207</v>
      </c>
      <c r="C224" s="1" t="s">
        <v>6</v>
      </c>
      <c r="D224" s="8" t="s">
        <v>4</v>
      </c>
      <c r="E224" s="4" t="s">
        <v>7</v>
      </c>
      <c r="F224" s="5">
        <v>452.81739300371902</v>
      </c>
      <c r="G224" s="1" t="str">
        <f t="shared" si="3"/>
        <v>Jul-2026</v>
      </c>
    </row>
    <row r="225" spans="1:7" x14ac:dyDescent="0.3">
      <c r="A225" s="6">
        <v>224</v>
      </c>
      <c r="B225" s="2">
        <v>46232</v>
      </c>
      <c r="C225" s="6" t="s">
        <v>13</v>
      </c>
      <c r="D225" s="8" t="s">
        <v>4</v>
      </c>
      <c r="E225" s="7" t="s">
        <v>23</v>
      </c>
      <c r="F225" s="5">
        <v>447.08448309556798</v>
      </c>
      <c r="G225" s="6" t="str">
        <f t="shared" si="3"/>
        <v>Jul-2026</v>
      </c>
    </row>
    <row r="226" spans="1:7" x14ac:dyDescent="0.3">
      <c r="A226" s="1">
        <v>225</v>
      </c>
      <c r="B226" s="2">
        <v>46228</v>
      </c>
      <c r="C226" s="1" t="s">
        <v>13</v>
      </c>
      <c r="D226" s="8" t="s">
        <v>4</v>
      </c>
      <c r="E226" s="4" t="s">
        <v>14</v>
      </c>
      <c r="F226" s="5">
        <v>441.35157318741898</v>
      </c>
      <c r="G226" s="1" t="str">
        <f t="shared" si="3"/>
        <v>Jul-2026</v>
      </c>
    </row>
    <row r="227" spans="1:7" x14ac:dyDescent="0.3">
      <c r="A227" s="6">
        <v>226</v>
      </c>
      <c r="B227" s="2">
        <v>46228</v>
      </c>
      <c r="C227" s="6" t="s">
        <v>12</v>
      </c>
      <c r="D227" s="8" t="s">
        <v>4</v>
      </c>
      <c r="E227" s="7" t="s">
        <v>12</v>
      </c>
      <c r="F227" s="5">
        <v>435.61866327926901</v>
      </c>
      <c r="G227" s="6" t="str">
        <f t="shared" si="3"/>
        <v>Jul-2026</v>
      </c>
    </row>
    <row r="228" spans="1:7" x14ac:dyDescent="0.3">
      <c r="A228" s="1">
        <v>227</v>
      </c>
      <c r="B228" s="2">
        <v>46240</v>
      </c>
      <c r="C228" s="1" t="s">
        <v>0</v>
      </c>
      <c r="D228" s="3" t="s">
        <v>0</v>
      </c>
      <c r="E228" s="4" t="s">
        <v>1</v>
      </c>
      <c r="F228" s="5">
        <v>429.88575337111803</v>
      </c>
      <c r="G228" s="1" t="str">
        <f t="shared" si="3"/>
        <v>Aug-2026</v>
      </c>
    </row>
    <row r="229" spans="1:7" x14ac:dyDescent="0.3">
      <c r="A229" s="6">
        <v>228</v>
      </c>
      <c r="B229" s="2">
        <v>46235</v>
      </c>
      <c r="C229" s="6" t="s">
        <v>0</v>
      </c>
      <c r="D229" s="3" t="s">
        <v>0</v>
      </c>
      <c r="E229" s="7" t="s">
        <v>24</v>
      </c>
      <c r="F229" s="5">
        <v>424.15284346296897</v>
      </c>
      <c r="G229" s="6" t="str">
        <f t="shared" si="3"/>
        <v>Aug-2026</v>
      </c>
    </row>
    <row r="230" spans="1:7" x14ac:dyDescent="0.3">
      <c r="A230" s="1">
        <v>229</v>
      </c>
      <c r="B230" s="2">
        <v>46258</v>
      </c>
      <c r="C230" s="1" t="s">
        <v>0</v>
      </c>
      <c r="D230" s="3" t="s">
        <v>0</v>
      </c>
      <c r="E230" s="4" t="s">
        <v>2</v>
      </c>
      <c r="F230" s="5">
        <v>418.41993355481799</v>
      </c>
      <c r="G230" s="1" t="str">
        <f t="shared" si="3"/>
        <v>Aug-2026</v>
      </c>
    </row>
    <row r="231" spans="1:7" x14ac:dyDescent="0.3">
      <c r="A231" s="6">
        <v>230</v>
      </c>
      <c r="B231" s="2">
        <v>46245</v>
      </c>
      <c r="C231" s="6" t="s">
        <v>20</v>
      </c>
      <c r="D231" s="8" t="s">
        <v>4</v>
      </c>
      <c r="E231" s="7" t="s">
        <v>21</v>
      </c>
      <c r="F231" s="5">
        <v>412.68702364666802</v>
      </c>
      <c r="G231" s="6" t="str">
        <f t="shared" si="3"/>
        <v>Aug-2026</v>
      </c>
    </row>
    <row r="232" spans="1:7" x14ac:dyDescent="0.3">
      <c r="A232" s="1">
        <v>231</v>
      </c>
      <c r="B232" s="2">
        <v>46121</v>
      </c>
      <c r="C232" s="1" t="s">
        <v>0</v>
      </c>
      <c r="D232" s="3" t="s">
        <v>0</v>
      </c>
      <c r="E232" s="4" t="s">
        <v>1</v>
      </c>
      <c r="F232" s="5">
        <v>406.954113738518</v>
      </c>
      <c r="G232" s="1" t="str">
        <f t="shared" si="3"/>
        <v>Apr-2026</v>
      </c>
    </row>
    <row r="233" spans="1:7" x14ac:dyDescent="0.3">
      <c r="A233" s="6">
        <v>232</v>
      </c>
      <c r="B233" s="2">
        <v>46120</v>
      </c>
      <c r="C233" s="6" t="s">
        <v>0</v>
      </c>
      <c r="D233" s="3" t="s">
        <v>0</v>
      </c>
      <c r="E233" s="7" t="s">
        <v>2</v>
      </c>
      <c r="F233" s="5">
        <v>401.22120383036798</v>
      </c>
      <c r="G233" s="6" t="str">
        <f t="shared" si="3"/>
        <v>Apr-2026</v>
      </c>
    </row>
    <row r="234" spans="1:7" x14ac:dyDescent="0.3">
      <c r="A234" s="1">
        <v>233</v>
      </c>
      <c r="B234" s="2">
        <v>46132</v>
      </c>
      <c r="C234" s="1" t="s">
        <v>3</v>
      </c>
      <c r="D234" s="8" t="s">
        <v>4</v>
      </c>
      <c r="E234" s="4" t="s">
        <v>5</v>
      </c>
      <c r="F234" s="5">
        <v>395.48829392221802</v>
      </c>
      <c r="G234" s="1" t="str">
        <f t="shared" si="3"/>
        <v>Apr-2026</v>
      </c>
    </row>
    <row r="235" spans="1:7" x14ac:dyDescent="0.3">
      <c r="A235" s="6">
        <v>234</v>
      </c>
      <c r="B235" s="2">
        <v>46130</v>
      </c>
      <c r="C235" s="6" t="s">
        <v>6</v>
      </c>
      <c r="D235" s="8" t="s">
        <v>4</v>
      </c>
      <c r="E235" s="7" t="s">
        <v>7</v>
      </c>
      <c r="F235" s="5">
        <v>389.755384014078</v>
      </c>
      <c r="G235" s="6" t="str">
        <f t="shared" si="3"/>
        <v>Apr-2026</v>
      </c>
    </row>
    <row r="236" spans="1:7" x14ac:dyDescent="0.3">
      <c r="A236" s="1">
        <v>235</v>
      </c>
      <c r="B236" s="2">
        <v>46135</v>
      </c>
      <c r="C236" s="1" t="s">
        <v>8</v>
      </c>
      <c r="D236" s="8" t="s">
        <v>4</v>
      </c>
      <c r="E236" s="4" t="s">
        <v>9</v>
      </c>
      <c r="F236" s="5">
        <v>384.02247410592798</v>
      </c>
      <c r="G236" s="1" t="str">
        <f t="shared" si="3"/>
        <v>Apr-2026</v>
      </c>
    </row>
    <row r="237" spans="1:7" x14ac:dyDescent="0.3">
      <c r="A237" s="6">
        <v>236</v>
      </c>
      <c r="B237" s="2">
        <v>46135</v>
      </c>
      <c r="C237" s="6" t="s">
        <v>10</v>
      </c>
      <c r="D237" s="8" t="s">
        <v>4</v>
      </c>
      <c r="E237" s="7" t="s">
        <v>11</v>
      </c>
      <c r="F237" s="5">
        <v>378.28956419777802</v>
      </c>
      <c r="G237" s="6" t="str">
        <f t="shared" si="3"/>
        <v>Apr-2026</v>
      </c>
    </row>
    <row r="238" spans="1:7" x14ac:dyDescent="0.3">
      <c r="A238" s="1">
        <v>237</v>
      </c>
      <c r="B238" s="2">
        <v>46126</v>
      </c>
      <c r="C238" s="1" t="s">
        <v>12</v>
      </c>
      <c r="D238" s="8" t="s">
        <v>4</v>
      </c>
      <c r="E238" s="4" t="s">
        <v>12</v>
      </c>
      <c r="F238" s="5">
        <v>372.556654289628</v>
      </c>
      <c r="G238" s="1" t="str">
        <f t="shared" si="3"/>
        <v>Apr-2026</v>
      </c>
    </row>
    <row r="239" spans="1:7" x14ac:dyDescent="0.3">
      <c r="A239" s="6">
        <v>238</v>
      </c>
      <c r="B239" s="2">
        <v>46127</v>
      </c>
      <c r="C239" s="6" t="s">
        <v>13</v>
      </c>
      <c r="D239" s="8" t="s">
        <v>4</v>
      </c>
      <c r="E239" s="7" t="s">
        <v>14</v>
      </c>
      <c r="F239" s="5">
        <v>366.82374438147798</v>
      </c>
      <c r="G239" s="6" t="str">
        <f t="shared" si="3"/>
        <v>Apr-2026</v>
      </c>
    </row>
    <row r="240" spans="1:7" x14ac:dyDescent="0.3">
      <c r="A240" s="1">
        <v>239</v>
      </c>
      <c r="B240" s="2">
        <v>46121</v>
      </c>
      <c r="C240" s="1" t="s">
        <v>15</v>
      </c>
      <c r="D240" s="8" t="s">
        <v>4</v>
      </c>
      <c r="E240" s="4" t="s">
        <v>16</v>
      </c>
      <c r="F240" s="5">
        <v>361.09083447332802</v>
      </c>
      <c r="G240" s="1" t="str">
        <f t="shared" si="3"/>
        <v>Apr-2026</v>
      </c>
    </row>
    <row r="241" spans="1:7" x14ac:dyDescent="0.3">
      <c r="A241" s="6">
        <v>240</v>
      </c>
      <c r="B241" s="2">
        <v>46140</v>
      </c>
      <c r="C241" s="6" t="s">
        <v>13</v>
      </c>
      <c r="D241" s="8" t="s">
        <v>4</v>
      </c>
      <c r="E241" s="7" t="s">
        <v>17</v>
      </c>
      <c r="F241" s="5">
        <v>355.357924565178</v>
      </c>
      <c r="G241" s="6" t="str">
        <f t="shared" si="3"/>
        <v>Apr-2026</v>
      </c>
    </row>
    <row r="242" spans="1:7" x14ac:dyDescent="0.3">
      <c r="A242" s="1">
        <v>241</v>
      </c>
      <c r="B242" s="2">
        <v>46137</v>
      </c>
      <c r="C242" s="1" t="s">
        <v>8</v>
      </c>
      <c r="D242" s="8" t="s">
        <v>4</v>
      </c>
      <c r="E242" s="4" t="s">
        <v>18</v>
      </c>
      <c r="F242" s="5">
        <v>349.62501465702798</v>
      </c>
      <c r="G242" s="1" t="str">
        <f t="shared" si="3"/>
        <v>Apr-2026</v>
      </c>
    </row>
    <row r="243" spans="1:7" x14ac:dyDescent="0.3">
      <c r="A243" s="6">
        <v>242</v>
      </c>
      <c r="B243" s="2">
        <v>46118</v>
      </c>
      <c r="C243" s="6" t="s">
        <v>10</v>
      </c>
      <c r="D243" s="8" t="s">
        <v>4</v>
      </c>
      <c r="E243" s="7" t="s">
        <v>19</v>
      </c>
      <c r="F243" s="5">
        <v>343.89210474887801</v>
      </c>
      <c r="G243" s="6" t="str">
        <f t="shared" si="3"/>
        <v>Apr-2026</v>
      </c>
    </row>
    <row r="244" spans="1:7" x14ac:dyDescent="0.3">
      <c r="A244" s="1">
        <v>243</v>
      </c>
      <c r="B244" s="2">
        <v>46126</v>
      </c>
      <c r="C244" s="1" t="s">
        <v>20</v>
      </c>
      <c r="D244" s="8" t="s">
        <v>4</v>
      </c>
      <c r="E244" s="4" t="s">
        <v>21</v>
      </c>
      <c r="F244" s="5">
        <v>338.15919484072799</v>
      </c>
      <c r="G244" s="1" t="str">
        <f t="shared" si="3"/>
        <v>Apr-2026</v>
      </c>
    </row>
    <row r="245" spans="1:7" x14ac:dyDescent="0.3">
      <c r="A245" s="6">
        <v>244</v>
      </c>
      <c r="B245" s="2">
        <v>46121</v>
      </c>
      <c r="C245" s="6" t="s">
        <v>3</v>
      </c>
      <c r="D245" s="8" t="s">
        <v>4</v>
      </c>
      <c r="E245" s="7" t="s">
        <v>22</v>
      </c>
      <c r="F245" s="5">
        <v>332.42628493257803</v>
      </c>
      <c r="G245" s="6" t="str">
        <f t="shared" si="3"/>
        <v>Apr-2026</v>
      </c>
    </row>
    <row r="246" spans="1:7" x14ac:dyDescent="0.3">
      <c r="A246" s="1">
        <v>245</v>
      </c>
      <c r="B246" s="2">
        <v>46145</v>
      </c>
      <c r="C246" s="1" t="s">
        <v>0</v>
      </c>
      <c r="D246" s="3" t="s">
        <v>0</v>
      </c>
      <c r="E246" s="4" t="s">
        <v>2</v>
      </c>
      <c r="F246" s="5">
        <v>326.69337502442801</v>
      </c>
      <c r="G246" s="1" t="str">
        <f t="shared" si="3"/>
        <v>May-2026</v>
      </c>
    </row>
    <row r="247" spans="1:7" x14ac:dyDescent="0.3">
      <c r="A247" s="6">
        <v>246</v>
      </c>
      <c r="B247" s="2">
        <v>46146</v>
      </c>
      <c r="C247" s="6" t="s">
        <v>0</v>
      </c>
      <c r="D247" s="3" t="s">
        <v>0</v>
      </c>
      <c r="E247" s="7" t="s">
        <v>1</v>
      </c>
      <c r="F247" s="5">
        <v>320.96046511627799</v>
      </c>
      <c r="G247" s="6" t="str">
        <f t="shared" si="3"/>
        <v>May-2026</v>
      </c>
    </row>
    <row r="248" spans="1:7" x14ac:dyDescent="0.3">
      <c r="A248" s="1">
        <v>247</v>
      </c>
      <c r="B248" s="2">
        <v>46161</v>
      </c>
      <c r="C248" s="1" t="s">
        <v>10</v>
      </c>
      <c r="D248" s="8" t="s">
        <v>4</v>
      </c>
      <c r="E248" s="4" t="s">
        <v>19</v>
      </c>
      <c r="F248" s="5">
        <v>315.22755520812802</v>
      </c>
      <c r="G248" s="1" t="str">
        <f t="shared" si="3"/>
        <v>May-2026</v>
      </c>
    </row>
    <row r="249" spans="1:7" x14ac:dyDescent="0.3">
      <c r="A249" s="6">
        <v>248</v>
      </c>
      <c r="B249" s="2">
        <v>46165</v>
      </c>
      <c r="C249" s="6" t="s">
        <v>20</v>
      </c>
      <c r="D249" s="8" t="s">
        <v>4</v>
      </c>
      <c r="E249" s="7" t="s">
        <v>21</v>
      </c>
      <c r="F249" s="5">
        <v>309.49464529998801</v>
      </c>
      <c r="G249" s="6" t="str">
        <f t="shared" si="3"/>
        <v>May-2026</v>
      </c>
    </row>
    <row r="250" spans="1:7" x14ac:dyDescent="0.3">
      <c r="A250" s="1">
        <v>249</v>
      </c>
      <c r="B250" s="2">
        <v>46144</v>
      </c>
      <c r="C250" s="1" t="s">
        <v>15</v>
      </c>
      <c r="D250" s="8" t="s">
        <v>4</v>
      </c>
      <c r="E250" s="4" t="s">
        <v>16</v>
      </c>
      <c r="F250" s="5">
        <v>303.76173539183799</v>
      </c>
      <c r="G250" s="1" t="str">
        <f t="shared" si="3"/>
        <v>May-2026</v>
      </c>
    </row>
    <row r="251" spans="1:7" x14ac:dyDescent="0.3">
      <c r="A251" s="6">
        <v>250</v>
      </c>
      <c r="B251" s="2">
        <v>46150</v>
      </c>
      <c r="C251" s="6" t="s">
        <v>13</v>
      </c>
      <c r="D251" s="8" t="s">
        <v>4</v>
      </c>
      <c r="E251" s="7" t="s">
        <v>17</v>
      </c>
      <c r="F251" s="5">
        <v>298.02882548368802</v>
      </c>
      <c r="G251" s="6" t="str">
        <f t="shared" si="3"/>
        <v>May-2026</v>
      </c>
    </row>
    <row r="252" spans="1:7" x14ac:dyDescent="0.3">
      <c r="A252" s="1">
        <v>251</v>
      </c>
      <c r="B252" s="2">
        <v>46152</v>
      </c>
      <c r="C252" s="1" t="s">
        <v>10</v>
      </c>
      <c r="D252" s="8" t="s">
        <v>4</v>
      </c>
      <c r="E252" s="4" t="s">
        <v>11</v>
      </c>
      <c r="F252" s="5">
        <v>292.295915575538</v>
      </c>
      <c r="G252" s="1" t="str">
        <f t="shared" si="3"/>
        <v>May-2026</v>
      </c>
    </row>
    <row r="253" spans="1:7" x14ac:dyDescent="0.3">
      <c r="A253" s="6">
        <v>252</v>
      </c>
      <c r="B253" s="2">
        <v>46170</v>
      </c>
      <c r="C253" s="6" t="s">
        <v>3</v>
      </c>
      <c r="D253" s="8" t="s">
        <v>4</v>
      </c>
      <c r="E253" s="7" t="s">
        <v>5</v>
      </c>
      <c r="F253" s="5">
        <v>286.56300566738798</v>
      </c>
      <c r="G253" s="6" t="str">
        <f t="shared" si="3"/>
        <v>May-2026</v>
      </c>
    </row>
    <row r="254" spans="1:7" x14ac:dyDescent="0.3">
      <c r="A254" s="1">
        <v>253</v>
      </c>
      <c r="B254" s="2">
        <v>46170</v>
      </c>
      <c r="C254" s="1" t="s">
        <v>13</v>
      </c>
      <c r="D254" s="8" t="s">
        <v>4</v>
      </c>
      <c r="E254" s="4" t="s">
        <v>14</v>
      </c>
      <c r="F254" s="5">
        <v>280.83009575923802</v>
      </c>
      <c r="G254" s="1" t="str">
        <f t="shared" si="3"/>
        <v>May-2026</v>
      </c>
    </row>
    <row r="255" spans="1:7" x14ac:dyDescent="0.3">
      <c r="A255" s="6">
        <v>254</v>
      </c>
      <c r="B255" s="2">
        <v>46155</v>
      </c>
      <c r="C255" s="6" t="s">
        <v>8</v>
      </c>
      <c r="D255" s="8" t="s">
        <v>4</v>
      </c>
      <c r="E255" s="7" t="s">
        <v>9</v>
      </c>
      <c r="F255" s="5">
        <v>275.097185851088</v>
      </c>
      <c r="G255" s="6" t="str">
        <f t="shared" si="3"/>
        <v>May-2026</v>
      </c>
    </row>
    <row r="256" spans="1:7" x14ac:dyDescent="0.3">
      <c r="A256" s="1">
        <v>255</v>
      </c>
      <c r="B256" s="2">
        <v>46157</v>
      </c>
      <c r="C256" s="1" t="s">
        <v>8</v>
      </c>
      <c r="D256" s="8" t="s">
        <v>4</v>
      </c>
      <c r="E256" s="4" t="s">
        <v>18</v>
      </c>
      <c r="F256" s="5">
        <v>269.36427594293798</v>
      </c>
      <c r="G256" s="1" t="str">
        <f t="shared" si="3"/>
        <v>May-2026</v>
      </c>
    </row>
    <row r="257" spans="1:7" x14ac:dyDescent="0.3">
      <c r="A257" s="6">
        <v>256</v>
      </c>
      <c r="B257" s="2">
        <v>46169</v>
      </c>
      <c r="C257" s="6" t="s">
        <v>3</v>
      </c>
      <c r="D257" s="8" t="s">
        <v>4</v>
      </c>
      <c r="E257" s="7" t="s">
        <v>22</v>
      </c>
      <c r="F257" s="5">
        <v>263.63136603478802</v>
      </c>
      <c r="G257" s="6" t="str">
        <f t="shared" si="3"/>
        <v>May-2026</v>
      </c>
    </row>
    <row r="258" spans="1:7" x14ac:dyDescent="0.3">
      <c r="A258" s="1">
        <v>257</v>
      </c>
      <c r="B258" s="2">
        <v>46148</v>
      </c>
      <c r="C258" s="1" t="s">
        <v>13</v>
      </c>
      <c r="D258" s="8" t="s">
        <v>4</v>
      </c>
      <c r="E258" s="4" t="s">
        <v>23</v>
      </c>
      <c r="F258" s="5">
        <v>257.898456126638</v>
      </c>
      <c r="G258" s="1" t="str">
        <f t="shared" ref="G258:G301" si="4">TEXT(B258,"mmm-yyyy")</f>
        <v>May-2026</v>
      </c>
    </row>
    <row r="259" spans="1:7" x14ac:dyDescent="0.3">
      <c r="A259" s="6">
        <v>258</v>
      </c>
      <c r="B259" s="2">
        <v>46196</v>
      </c>
      <c r="C259" s="6" t="s">
        <v>0</v>
      </c>
      <c r="D259" s="3" t="s">
        <v>0</v>
      </c>
      <c r="E259" s="7" t="s">
        <v>24</v>
      </c>
      <c r="F259" s="5">
        <v>252.165546218488</v>
      </c>
      <c r="G259" s="6" t="str">
        <f t="shared" si="4"/>
        <v>Jun-2026</v>
      </c>
    </row>
    <row r="260" spans="1:7" x14ac:dyDescent="0.3">
      <c r="A260" s="1">
        <v>259</v>
      </c>
      <c r="B260" s="2">
        <v>46195</v>
      </c>
      <c r="C260" s="1" t="s">
        <v>0</v>
      </c>
      <c r="D260" s="3" t="s">
        <v>0</v>
      </c>
      <c r="E260" s="4" t="s">
        <v>2</v>
      </c>
      <c r="F260" s="5">
        <v>246.43263631033801</v>
      </c>
      <c r="G260" s="1" t="str">
        <f t="shared" si="4"/>
        <v>Jun-2026</v>
      </c>
    </row>
    <row r="261" spans="1:7" x14ac:dyDescent="0.3">
      <c r="A261" s="6">
        <v>260</v>
      </c>
      <c r="B261" s="2">
        <v>46176</v>
      </c>
      <c r="C261" s="6" t="s">
        <v>0</v>
      </c>
      <c r="D261" s="3" t="s">
        <v>0</v>
      </c>
      <c r="E261" s="7" t="s">
        <v>25</v>
      </c>
      <c r="F261" s="5">
        <v>240.69972640218799</v>
      </c>
      <c r="G261" s="6" t="str">
        <f t="shared" si="4"/>
        <v>Jun-2026</v>
      </c>
    </row>
    <row r="262" spans="1:7" x14ac:dyDescent="0.3">
      <c r="A262" s="1">
        <v>261</v>
      </c>
      <c r="B262" s="2">
        <v>46184</v>
      </c>
      <c r="C262" s="1" t="s">
        <v>3</v>
      </c>
      <c r="D262" s="8" t="s">
        <v>4</v>
      </c>
      <c r="E262" s="4" t="s">
        <v>22</v>
      </c>
      <c r="F262" s="5">
        <v>234.966816494038</v>
      </c>
      <c r="G262" s="1" t="str">
        <f t="shared" si="4"/>
        <v>Jun-2026</v>
      </c>
    </row>
    <row r="263" spans="1:7" x14ac:dyDescent="0.3">
      <c r="A263" s="6">
        <v>262</v>
      </c>
      <c r="B263" s="2">
        <v>46181</v>
      </c>
      <c r="C263" s="6" t="s">
        <v>10</v>
      </c>
      <c r="D263" s="8" t="s">
        <v>4</v>
      </c>
      <c r="E263" s="7" t="s">
        <v>11</v>
      </c>
      <c r="F263" s="5">
        <v>229.23390658589801</v>
      </c>
      <c r="G263" s="6" t="str">
        <f t="shared" si="4"/>
        <v>Jun-2026</v>
      </c>
    </row>
    <row r="264" spans="1:7" x14ac:dyDescent="0.3">
      <c r="A264" s="1">
        <v>263</v>
      </c>
      <c r="B264" s="2">
        <v>46199</v>
      </c>
      <c r="C264" s="1" t="s">
        <v>8</v>
      </c>
      <c r="D264" s="8" t="s">
        <v>4</v>
      </c>
      <c r="E264" s="4" t="s">
        <v>9</v>
      </c>
      <c r="F264" s="5">
        <v>223.50099667774799</v>
      </c>
      <c r="G264" s="1" t="str">
        <f t="shared" si="4"/>
        <v>Jun-2026</v>
      </c>
    </row>
    <row r="265" spans="1:7" x14ac:dyDescent="0.3">
      <c r="A265" s="6">
        <v>264</v>
      </c>
      <c r="B265" s="2">
        <v>46186</v>
      </c>
      <c r="C265" s="6" t="s">
        <v>20</v>
      </c>
      <c r="D265" s="8" t="s">
        <v>4</v>
      </c>
      <c r="E265" s="7" t="s">
        <v>26</v>
      </c>
      <c r="F265" s="5">
        <v>217.768086769598</v>
      </c>
      <c r="G265" s="6" t="str">
        <f t="shared" si="4"/>
        <v>Jun-2026</v>
      </c>
    </row>
    <row r="266" spans="1:7" x14ac:dyDescent="0.3">
      <c r="A266" s="1">
        <v>265</v>
      </c>
      <c r="B266" s="2">
        <v>46176</v>
      </c>
      <c r="C266" s="1" t="s">
        <v>12</v>
      </c>
      <c r="D266" s="8" t="s">
        <v>4</v>
      </c>
      <c r="E266" s="4" t="s">
        <v>12</v>
      </c>
      <c r="F266" s="5">
        <v>212.03517686144801</v>
      </c>
      <c r="G266" s="1" t="str">
        <f t="shared" si="4"/>
        <v>Jun-2026</v>
      </c>
    </row>
    <row r="267" spans="1:7" x14ac:dyDescent="0.3">
      <c r="A267" s="6">
        <v>266</v>
      </c>
      <c r="B267" s="2">
        <v>46203</v>
      </c>
      <c r="C267" s="6" t="s">
        <v>13</v>
      </c>
      <c r="D267" s="8" t="s">
        <v>4</v>
      </c>
      <c r="E267" s="7" t="s">
        <v>17</v>
      </c>
      <c r="F267" s="5">
        <v>206.30226695329799</v>
      </c>
      <c r="G267" s="6" t="str">
        <f t="shared" si="4"/>
        <v>Jun-2026</v>
      </c>
    </row>
    <row r="268" spans="1:7" x14ac:dyDescent="0.3">
      <c r="A268" s="1">
        <v>267</v>
      </c>
      <c r="B268" s="2">
        <v>46202</v>
      </c>
      <c r="C268" s="1" t="s">
        <v>13</v>
      </c>
      <c r="D268" s="8" t="s">
        <v>4</v>
      </c>
      <c r="E268" s="4" t="s">
        <v>14</v>
      </c>
      <c r="F268" s="5">
        <v>200.569357045148</v>
      </c>
      <c r="G268" s="1" t="str">
        <f t="shared" si="4"/>
        <v>Jun-2026</v>
      </c>
    </row>
    <row r="269" spans="1:7" x14ac:dyDescent="0.3">
      <c r="A269" s="6">
        <v>268</v>
      </c>
      <c r="B269" s="2">
        <v>46184</v>
      </c>
      <c r="C269" s="6" t="s">
        <v>10</v>
      </c>
      <c r="D269" s="8" t="s">
        <v>4</v>
      </c>
      <c r="E269" s="7" t="s">
        <v>19</v>
      </c>
      <c r="F269" s="5">
        <v>194.836447136998</v>
      </c>
      <c r="G269" s="6" t="str">
        <f t="shared" si="4"/>
        <v>Jun-2026</v>
      </c>
    </row>
    <row r="270" spans="1:7" x14ac:dyDescent="0.3">
      <c r="A270" s="1">
        <v>269</v>
      </c>
      <c r="B270" s="2">
        <v>46194</v>
      </c>
      <c r="C270" s="1" t="s">
        <v>13</v>
      </c>
      <c r="D270" s="8" t="s">
        <v>4</v>
      </c>
      <c r="E270" s="4" t="s">
        <v>23</v>
      </c>
      <c r="F270" s="5">
        <v>189.10353722884801</v>
      </c>
      <c r="G270" s="1" t="str">
        <f t="shared" si="4"/>
        <v>Jun-2026</v>
      </c>
    </row>
    <row r="271" spans="1:7" x14ac:dyDescent="0.3">
      <c r="A271" s="6">
        <v>270</v>
      </c>
      <c r="B271" s="2">
        <v>46186</v>
      </c>
      <c r="C271" s="6" t="s">
        <v>20</v>
      </c>
      <c r="D271" s="8" t="s">
        <v>4</v>
      </c>
      <c r="E271" s="7" t="s">
        <v>21</v>
      </c>
      <c r="F271" s="5">
        <v>183.37062732069799</v>
      </c>
      <c r="G271" s="6" t="str">
        <f t="shared" si="4"/>
        <v>Jun-2026</v>
      </c>
    </row>
    <row r="272" spans="1:7" x14ac:dyDescent="0.3">
      <c r="A272" s="1">
        <v>271</v>
      </c>
      <c r="B272" s="2">
        <v>46203</v>
      </c>
      <c r="C272" s="1" t="s">
        <v>3</v>
      </c>
      <c r="D272" s="8" t="s">
        <v>4</v>
      </c>
      <c r="E272" s="4" t="s">
        <v>5</v>
      </c>
      <c r="F272" s="5">
        <v>177.637717412548</v>
      </c>
      <c r="G272" s="1" t="str">
        <f t="shared" si="4"/>
        <v>Jun-2026</v>
      </c>
    </row>
    <row r="273" spans="1:7" x14ac:dyDescent="0.3">
      <c r="A273" s="6">
        <v>272</v>
      </c>
      <c r="B273" s="2">
        <v>46188</v>
      </c>
      <c r="C273" s="6" t="s">
        <v>8</v>
      </c>
      <c r="D273" s="8" t="s">
        <v>4</v>
      </c>
      <c r="E273" s="7" t="s">
        <v>18</v>
      </c>
      <c r="F273" s="5">
        <v>171.90480750439801</v>
      </c>
      <c r="G273" s="6" t="str">
        <f t="shared" si="4"/>
        <v>Jun-2026</v>
      </c>
    </row>
    <row r="274" spans="1:7" x14ac:dyDescent="0.3">
      <c r="A274" s="1">
        <v>273</v>
      </c>
      <c r="B274" s="2">
        <v>46227</v>
      </c>
      <c r="C274" s="1" t="s">
        <v>0</v>
      </c>
      <c r="D274" s="3" t="s">
        <v>0</v>
      </c>
      <c r="E274" s="4" t="s">
        <v>24</v>
      </c>
      <c r="F274" s="5">
        <v>166.17189759624799</v>
      </c>
      <c r="G274" s="1" t="str">
        <f t="shared" si="4"/>
        <v>Jul-2026</v>
      </c>
    </row>
    <row r="275" spans="1:7" x14ac:dyDescent="0.3">
      <c r="A275" s="6">
        <v>274</v>
      </c>
      <c r="B275" s="2">
        <v>46217</v>
      </c>
      <c r="C275" s="6" t="s">
        <v>0</v>
      </c>
      <c r="D275" s="3" t="s">
        <v>0</v>
      </c>
      <c r="E275" s="7" t="s">
        <v>1</v>
      </c>
      <c r="F275" s="5">
        <v>160.438987688098</v>
      </c>
      <c r="G275" s="6" t="str">
        <f t="shared" si="4"/>
        <v>Jul-2026</v>
      </c>
    </row>
    <row r="276" spans="1:7" x14ac:dyDescent="0.3">
      <c r="A276" s="1">
        <v>275</v>
      </c>
      <c r="B276" s="2">
        <v>46222</v>
      </c>
      <c r="C276" s="1" t="s">
        <v>0</v>
      </c>
      <c r="D276" s="3" t="s">
        <v>0</v>
      </c>
      <c r="E276" s="4" t="s">
        <v>25</v>
      </c>
      <c r="F276" s="5">
        <v>154.706077779948</v>
      </c>
      <c r="G276" s="1" t="str">
        <f t="shared" si="4"/>
        <v>Jul-2026</v>
      </c>
    </row>
    <row r="277" spans="1:7" x14ac:dyDescent="0.3">
      <c r="A277" s="6">
        <v>276</v>
      </c>
      <c r="B277" s="2">
        <v>46223</v>
      </c>
      <c r="C277" s="6" t="s">
        <v>20</v>
      </c>
      <c r="D277" s="8" t="s">
        <v>4</v>
      </c>
      <c r="E277" s="7" t="s">
        <v>26</v>
      </c>
      <c r="F277" s="5">
        <v>148.97316787180799</v>
      </c>
      <c r="G277" s="6" t="str">
        <f t="shared" si="4"/>
        <v>Jul-2026</v>
      </c>
    </row>
    <row r="278" spans="1:7" x14ac:dyDescent="0.3">
      <c r="A278" s="1">
        <v>277</v>
      </c>
      <c r="B278" s="2">
        <v>46216</v>
      </c>
      <c r="C278" s="1" t="s">
        <v>3</v>
      </c>
      <c r="D278" s="8" t="s">
        <v>4</v>
      </c>
      <c r="E278" s="4" t="s">
        <v>22</v>
      </c>
      <c r="F278" s="5">
        <v>143.240257963658</v>
      </c>
      <c r="G278" s="1" t="str">
        <f t="shared" si="4"/>
        <v>Jul-2026</v>
      </c>
    </row>
    <row r="279" spans="1:7" x14ac:dyDescent="0.3">
      <c r="A279" s="6">
        <v>278</v>
      </c>
      <c r="B279" s="2">
        <v>46223</v>
      </c>
      <c r="C279" s="6" t="s">
        <v>10</v>
      </c>
      <c r="D279" s="8" t="s">
        <v>4</v>
      </c>
      <c r="E279" s="7" t="s">
        <v>11</v>
      </c>
      <c r="F279" s="5">
        <v>137.507348055508</v>
      </c>
      <c r="G279" s="6" t="str">
        <f t="shared" si="4"/>
        <v>Jul-2026</v>
      </c>
    </row>
    <row r="280" spans="1:7" x14ac:dyDescent="0.3">
      <c r="A280" s="1">
        <v>279</v>
      </c>
      <c r="B280" s="2">
        <v>46220</v>
      </c>
      <c r="C280" s="1" t="s">
        <v>13</v>
      </c>
      <c r="D280" s="8" t="s">
        <v>4</v>
      </c>
      <c r="E280" s="4" t="s">
        <v>17</v>
      </c>
      <c r="F280" s="5">
        <v>131.77443814735801</v>
      </c>
      <c r="G280" s="1" t="str">
        <f t="shared" si="4"/>
        <v>Jul-2026</v>
      </c>
    </row>
    <row r="281" spans="1:7" x14ac:dyDescent="0.3">
      <c r="A281" s="6">
        <v>280</v>
      </c>
      <c r="B281" s="2">
        <v>46221</v>
      </c>
      <c r="C281" s="6" t="s">
        <v>3</v>
      </c>
      <c r="D281" s="8" t="s">
        <v>4</v>
      </c>
      <c r="E281" s="7" t="s">
        <v>5</v>
      </c>
      <c r="F281" s="5">
        <v>126.04152823920801</v>
      </c>
      <c r="G281" s="6" t="str">
        <f t="shared" si="4"/>
        <v>Jul-2026</v>
      </c>
    </row>
    <row r="282" spans="1:7" x14ac:dyDescent="0.3">
      <c r="A282" s="1">
        <v>281</v>
      </c>
      <c r="B282" s="2">
        <v>46234</v>
      </c>
      <c r="C282" s="1" t="s">
        <v>15</v>
      </c>
      <c r="D282" s="8" t="s">
        <v>4</v>
      </c>
      <c r="E282" s="4" t="s">
        <v>16</v>
      </c>
      <c r="F282" s="5">
        <v>120.308618331058</v>
      </c>
      <c r="G282" s="1" t="str">
        <f t="shared" si="4"/>
        <v>Jul-2026</v>
      </c>
    </row>
    <row r="283" spans="1:7" x14ac:dyDescent="0.3">
      <c r="A283" s="6">
        <v>282</v>
      </c>
      <c r="B283" s="2">
        <v>46225</v>
      </c>
      <c r="C283" s="6" t="s">
        <v>10</v>
      </c>
      <c r="D283" s="8" t="s">
        <v>4</v>
      </c>
      <c r="E283" s="7" t="s">
        <v>19</v>
      </c>
      <c r="F283" s="5">
        <v>114.57570842290799</v>
      </c>
      <c r="G283" s="6" t="str">
        <f t="shared" si="4"/>
        <v>Jul-2026</v>
      </c>
    </row>
    <row r="284" spans="1:7" x14ac:dyDescent="0.3">
      <c r="A284" s="1">
        <v>283</v>
      </c>
      <c r="B284" s="2">
        <v>46207</v>
      </c>
      <c r="C284" s="1" t="s">
        <v>6</v>
      </c>
      <c r="D284" s="8" t="s">
        <v>4</v>
      </c>
      <c r="E284" s="4" t="s">
        <v>7</v>
      </c>
      <c r="F284" s="5">
        <v>108.842798514758</v>
      </c>
      <c r="G284" s="1" t="str">
        <f t="shared" si="4"/>
        <v>Jul-2026</v>
      </c>
    </row>
    <row r="285" spans="1:7" x14ac:dyDescent="0.3">
      <c r="A285" s="6">
        <v>284</v>
      </c>
      <c r="B285" s="2">
        <v>46232</v>
      </c>
      <c r="C285" s="6" t="s">
        <v>13</v>
      </c>
      <c r="D285" s="8" t="s">
        <v>4</v>
      </c>
      <c r="E285" s="7" t="s">
        <v>23</v>
      </c>
      <c r="F285" s="5">
        <v>103.109888606608</v>
      </c>
      <c r="G285" s="6" t="str">
        <f t="shared" si="4"/>
        <v>Jul-2026</v>
      </c>
    </row>
    <row r="286" spans="1:7" x14ac:dyDescent="0.3">
      <c r="A286" s="1">
        <v>285</v>
      </c>
      <c r="B286" s="2">
        <v>46228</v>
      </c>
      <c r="C286" s="1" t="s">
        <v>13</v>
      </c>
      <c r="D286" s="8" t="s">
        <v>4</v>
      </c>
      <c r="E286" s="4" t="s">
        <v>14</v>
      </c>
      <c r="F286" s="5">
        <v>97.376978698458103</v>
      </c>
      <c r="G286" s="1" t="str">
        <f t="shared" si="4"/>
        <v>Jul-2026</v>
      </c>
    </row>
    <row r="287" spans="1:7" x14ac:dyDescent="0.3">
      <c r="A287" s="6">
        <v>286</v>
      </c>
      <c r="B287" s="2">
        <v>46228</v>
      </c>
      <c r="C287" s="6" t="s">
        <v>12</v>
      </c>
      <c r="D287" s="8" t="s">
        <v>4</v>
      </c>
      <c r="E287" s="7" t="s">
        <v>12</v>
      </c>
      <c r="F287" s="5">
        <v>91.644068790307998</v>
      </c>
      <c r="G287" s="6" t="str">
        <f t="shared" si="4"/>
        <v>Jul-2026</v>
      </c>
    </row>
    <row r="288" spans="1:7" x14ac:dyDescent="0.3">
      <c r="A288" s="1">
        <v>287</v>
      </c>
      <c r="B288" s="2">
        <v>46240</v>
      </c>
      <c r="C288" s="1" t="s">
        <v>0</v>
      </c>
      <c r="D288" s="3" t="s">
        <v>0</v>
      </c>
      <c r="E288" s="4" t="s">
        <v>1</v>
      </c>
      <c r="F288" s="5">
        <v>85.911158882158105</v>
      </c>
      <c r="G288" s="1" t="str">
        <f t="shared" si="4"/>
        <v>Aug-2026</v>
      </c>
    </row>
    <row r="289" spans="1:7" x14ac:dyDescent="0.3">
      <c r="A289" s="6">
        <v>288</v>
      </c>
      <c r="B289" s="2">
        <v>46235</v>
      </c>
      <c r="C289" s="6" t="s">
        <v>0</v>
      </c>
      <c r="D289" s="3" t="s">
        <v>0</v>
      </c>
      <c r="E289" s="7" t="s">
        <v>24</v>
      </c>
      <c r="F289" s="5">
        <v>80.178248974008099</v>
      </c>
      <c r="G289" s="6" t="str">
        <f t="shared" si="4"/>
        <v>Aug-2026</v>
      </c>
    </row>
    <row r="290" spans="1:7" x14ac:dyDescent="0.3">
      <c r="A290" s="1">
        <v>289</v>
      </c>
      <c r="B290" s="2">
        <v>46258</v>
      </c>
      <c r="C290" s="1" t="s">
        <v>0</v>
      </c>
      <c r="D290" s="3" t="s">
        <v>0</v>
      </c>
      <c r="E290" s="4" t="s">
        <v>2</v>
      </c>
      <c r="F290" s="5">
        <v>74.445339065857993</v>
      </c>
      <c r="G290" s="1" t="str">
        <f t="shared" si="4"/>
        <v>Aug-2026</v>
      </c>
    </row>
    <row r="291" spans="1:7" x14ac:dyDescent="0.3">
      <c r="A291" s="6">
        <v>290</v>
      </c>
      <c r="B291" s="2">
        <v>46245</v>
      </c>
      <c r="C291" s="6" t="s">
        <v>20</v>
      </c>
      <c r="D291" s="8" t="s">
        <v>4</v>
      </c>
      <c r="E291" s="7" t="s">
        <v>21</v>
      </c>
      <c r="F291" s="5">
        <v>68.712429157718105</v>
      </c>
      <c r="G291" s="6" t="str">
        <f t="shared" si="4"/>
        <v>Aug-2026</v>
      </c>
    </row>
    <row r="292" spans="1:7" x14ac:dyDescent="0.3">
      <c r="A292" s="1">
        <v>291</v>
      </c>
      <c r="B292" s="2">
        <v>46235</v>
      </c>
      <c r="C292" s="1" t="s">
        <v>10</v>
      </c>
      <c r="D292" s="8" t="s">
        <v>4</v>
      </c>
      <c r="E292" s="4" t="s">
        <v>11</v>
      </c>
      <c r="F292" s="5">
        <v>62.979519249568099</v>
      </c>
      <c r="G292" s="1" t="str">
        <f t="shared" si="4"/>
        <v>Aug-2026</v>
      </c>
    </row>
    <row r="293" spans="1:7" x14ac:dyDescent="0.3">
      <c r="A293" s="6">
        <v>292</v>
      </c>
      <c r="B293" s="2">
        <v>46264</v>
      </c>
      <c r="C293" s="6" t="s">
        <v>3</v>
      </c>
      <c r="D293" s="8" t="s">
        <v>4</v>
      </c>
      <c r="E293" s="7" t="s">
        <v>22</v>
      </c>
      <c r="F293" s="5">
        <v>57.246609341418001</v>
      </c>
      <c r="G293" s="6" t="str">
        <f t="shared" si="4"/>
        <v>Aug-2026</v>
      </c>
    </row>
    <row r="294" spans="1:7" x14ac:dyDescent="0.3">
      <c r="A294" s="1">
        <v>293</v>
      </c>
      <c r="B294" s="2">
        <v>46263</v>
      </c>
      <c r="C294" s="1" t="s">
        <v>8</v>
      </c>
      <c r="D294" s="8" t="s">
        <v>4</v>
      </c>
      <c r="E294" s="4" t="s">
        <v>18</v>
      </c>
      <c r="F294" s="5">
        <v>51.513699433268101</v>
      </c>
      <c r="G294" s="1" t="str">
        <f t="shared" si="4"/>
        <v>Aug-2026</v>
      </c>
    </row>
    <row r="295" spans="1:7" x14ac:dyDescent="0.3">
      <c r="A295" s="6">
        <v>294</v>
      </c>
      <c r="B295" s="2">
        <v>46260</v>
      </c>
      <c r="C295" s="6" t="s">
        <v>3</v>
      </c>
      <c r="D295" s="8" t="s">
        <v>4</v>
      </c>
      <c r="E295" s="7" t="s">
        <v>5</v>
      </c>
      <c r="F295" s="5">
        <v>45.780789525118102</v>
      </c>
      <c r="G295" s="6" t="str">
        <f t="shared" si="4"/>
        <v>Aug-2026</v>
      </c>
    </row>
    <row r="296" spans="1:7" x14ac:dyDescent="0.3">
      <c r="A296" s="1">
        <v>295</v>
      </c>
      <c r="B296" s="2">
        <v>46242</v>
      </c>
      <c r="C296" s="1" t="s">
        <v>12</v>
      </c>
      <c r="D296" s="8" t="s">
        <v>4</v>
      </c>
      <c r="E296" s="4" t="s">
        <v>12</v>
      </c>
      <c r="F296" s="5" t="s">
        <v>34</v>
      </c>
      <c r="G296" s="1" t="str">
        <f t="shared" si="4"/>
        <v>Aug-2026</v>
      </c>
    </row>
    <row r="297" spans="1:7" x14ac:dyDescent="0.3">
      <c r="A297" s="6">
        <v>296</v>
      </c>
      <c r="B297" s="2">
        <v>46242</v>
      </c>
      <c r="C297" s="6" t="s">
        <v>20</v>
      </c>
      <c r="D297" s="8" t="s">
        <v>4</v>
      </c>
      <c r="E297" s="7" t="s">
        <v>26</v>
      </c>
      <c r="F297" s="5">
        <v>34.314969708818097</v>
      </c>
      <c r="G297" s="6" t="str">
        <f t="shared" si="4"/>
        <v>Aug-2026</v>
      </c>
    </row>
    <row r="298" spans="1:7" x14ac:dyDescent="0.3">
      <c r="A298" s="1">
        <v>297</v>
      </c>
      <c r="B298" s="2">
        <v>46265</v>
      </c>
      <c r="C298" s="1" t="s">
        <v>10</v>
      </c>
      <c r="D298" s="8" t="s">
        <v>4</v>
      </c>
      <c r="E298" s="4" t="s">
        <v>19</v>
      </c>
      <c r="F298" s="5">
        <v>28.582059800667999</v>
      </c>
      <c r="G298" s="1" t="str">
        <f t="shared" si="4"/>
        <v>Aug-2026</v>
      </c>
    </row>
    <row r="299" spans="1:7" x14ac:dyDescent="0.3">
      <c r="A299" s="6">
        <v>298</v>
      </c>
      <c r="B299" s="2">
        <v>46237</v>
      </c>
      <c r="C299" s="6" t="s">
        <v>8</v>
      </c>
      <c r="D299" s="8" t="s">
        <v>4</v>
      </c>
      <c r="E299" s="7" t="s">
        <v>9</v>
      </c>
      <c r="F299" s="5">
        <v>22.849149892518</v>
      </c>
      <c r="G299" s="6" t="str">
        <f t="shared" si="4"/>
        <v>Aug-2026</v>
      </c>
    </row>
    <row r="300" spans="1:7" x14ac:dyDescent="0.3">
      <c r="A300" s="1">
        <v>299</v>
      </c>
      <c r="B300" s="2">
        <v>46250</v>
      </c>
      <c r="C300" s="1" t="s">
        <v>13</v>
      </c>
      <c r="D300" s="8" t="s">
        <v>4</v>
      </c>
      <c r="E300" s="4" t="s">
        <v>14</v>
      </c>
      <c r="F300" s="5">
        <v>17.1162399843681</v>
      </c>
      <c r="G300" s="1" t="str">
        <f t="shared" si="4"/>
        <v>Aug-2026</v>
      </c>
    </row>
    <row r="301" spans="1:7" x14ac:dyDescent="0.3">
      <c r="A301" s="19">
        <v>300</v>
      </c>
      <c r="B301" s="20">
        <v>46259</v>
      </c>
      <c r="C301" s="19" t="s">
        <v>15</v>
      </c>
      <c r="D301" s="21" t="s">
        <v>4</v>
      </c>
      <c r="E301" s="22" t="s">
        <v>16</v>
      </c>
      <c r="F301" s="23">
        <v>11.383330076218</v>
      </c>
      <c r="G301" s="19" t="str">
        <f t="shared" si="4"/>
        <v>Aug-2026</v>
      </c>
    </row>
    <row r="302" spans="1:7" x14ac:dyDescent="0.3">
      <c r="A302" s="1"/>
      <c r="B302" s="2"/>
      <c r="C302" s="1"/>
      <c r="D302" s="8"/>
      <c r="E302" s="4"/>
      <c r="F302" s="5"/>
      <c r="G302" s="1"/>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C4871-C83E-4623-8F93-5C85E6DC4CE1}">
  <dimension ref="A3:J20"/>
  <sheetViews>
    <sheetView workbookViewId="0">
      <selection activeCell="D25" sqref="D25"/>
    </sheetView>
  </sheetViews>
  <sheetFormatPr defaultRowHeight="14.4" x14ac:dyDescent="0.3"/>
  <cols>
    <col min="1" max="1" width="18.88671875" bestFit="1" customWidth="1"/>
    <col min="2" max="2" width="15.5546875" bestFit="1" customWidth="1"/>
    <col min="3" max="3" width="9.5546875" bestFit="1" customWidth="1"/>
    <col min="4" max="5" width="11.109375" bestFit="1" customWidth="1"/>
    <col min="8" max="8" width="8.88671875" customWidth="1"/>
    <col min="9" max="9" width="12.6640625" customWidth="1"/>
    <col min="10" max="10" width="12.21875" customWidth="1"/>
  </cols>
  <sheetData>
    <row r="3" spans="1:10" x14ac:dyDescent="0.3">
      <c r="A3" s="12" t="s">
        <v>49</v>
      </c>
      <c r="B3" s="12" t="s">
        <v>48</v>
      </c>
    </row>
    <row r="4" spans="1:10" x14ac:dyDescent="0.3">
      <c r="A4" s="12" t="s">
        <v>51</v>
      </c>
      <c r="B4" t="s">
        <v>4</v>
      </c>
      <c r="C4" t="s">
        <v>0</v>
      </c>
      <c r="D4" t="s">
        <v>47</v>
      </c>
      <c r="E4" t="s">
        <v>50</v>
      </c>
      <c r="I4" s="14"/>
    </row>
    <row r="5" spans="1:10" x14ac:dyDescent="0.3">
      <c r="A5" s="13" t="s">
        <v>41</v>
      </c>
      <c r="B5" s="16">
        <v>38789.420793433717</v>
      </c>
      <c r="C5" s="16">
        <v>13061.019015047885</v>
      </c>
      <c r="D5" s="16">
        <v>51850.439808481606</v>
      </c>
      <c r="E5" s="16">
        <f>GETPIVOTDATA("AMOUNT(Rs)",$A$3,"TYPE","Income","MONTH","Apr-2026")-GETPIVOTDATA("AMOUNT(Rs)",$A$3,"TYPE","Expense","MONTH","Apr-2026")</f>
        <v>-25728.401778385833</v>
      </c>
      <c r="I5" s="17"/>
      <c r="J5" s="16"/>
    </row>
    <row r="6" spans="1:10" x14ac:dyDescent="0.3">
      <c r="A6" s="13" t="s">
        <v>42</v>
      </c>
      <c r="B6" s="16">
        <v>22099.60615595082</v>
      </c>
      <c r="C6" s="16">
        <v>20422.343834277905</v>
      </c>
      <c r="D6" s="16">
        <v>42521.949990228721</v>
      </c>
      <c r="E6" s="16">
        <f>GETPIVOTDATA("AMOUNT(Rs)",$A$3,"TYPE","Income","MONTH","Aug-2026")-GETPIVOTDATA("AMOUNT(Rs)",$A$3,"TYPE","Expense","MONTH","Aug-2026")</f>
        <v>-1677.2623216729153</v>
      </c>
      <c r="I6" s="17"/>
      <c r="J6" s="16"/>
    </row>
    <row r="7" spans="1:10" x14ac:dyDescent="0.3">
      <c r="A7" s="13" t="s">
        <v>43</v>
      </c>
      <c r="B7" s="16">
        <v>27926.896247801538</v>
      </c>
      <c r="C7" s="16">
        <v>20412.690482704718</v>
      </c>
      <c r="D7" s="16">
        <v>48339.586730506257</v>
      </c>
      <c r="E7" s="16">
        <f>GETPIVOTDATA("AMOUNT(Rs)",$A$3,"TYPE","Income","MONTH","Jul-2026")-GETPIVOTDATA("AMOUNT(Rs)",$A$3,"TYPE","Expense","MONTH","Jul-2026")</f>
        <v>-7514.20576509682</v>
      </c>
      <c r="I7" s="17"/>
      <c r="J7" s="16"/>
    </row>
    <row r="8" spans="1:10" x14ac:dyDescent="0.3">
      <c r="A8" s="13" t="s">
        <v>44</v>
      </c>
      <c r="B8" s="16">
        <v>28758.647606019244</v>
      </c>
      <c r="C8" s="16">
        <v>17111.633320304878</v>
      </c>
      <c r="D8" s="16">
        <v>45870.280926324122</v>
      </c>
      <c r="E8" s="16">
        <f>GETPIVOTDATA("AMOUNT(Rs)",$A$3,"TYPE","Income","MONTH","Jun-2026")-GETPIVOTDATA("AMOUNT(Rs)",$A$3,"TYPE","Expense","MONTH","Jun-2026")</f>
        <v>-11647.014285714366</v>
      </c>
      <c r="I8" s="17"/>
      <c r="J8" s="16"/>
    </row>
    <row r="9" spans="1:10" x14ac:dyDescent="0.3">
      <c r="A9" s="13" t="s">
        <v>45</v>
      </c>
      <c r="B9" s="16">
        <v>32490.291029900403</v>
      </c>
      <c r="C9" s="16">
        <v>13306.454582763343</v>
      </c>
      <c r="D9" s="16">
        <v>45796.745612663748</v>
      </c>
      <c r="E9" s="16">
        <f>GETPIVOTDATA("AMOUNT(Rs)",$A$3,"TYPE","Income","MONTH","May-2026")-GETPIVOTDATA("AMOUNT(Rs)",$A$3,"TYPE","Expense","MONTH","May-2026")</f>
        <v>-19183.836447137059</v>
      </c>
      <c r="I9" s="17"/>
      <c r="J9" s="16"/>
    </row>
    <row r="10" spans="1:10" x14ac:dyDescent="0.3">
      <c r="A10" s="13" t="s">
        <v>46</v>
      </c>
      <c r="B10" s="16">
        <v>18903.31147156539</v>
      </c>
      <c r="C10" s="16">
        <v>7213.6459839749887</v>
      </c>
      <c r="D10" s="16">
        <v>26116.957455540378</v>
      </c>
      <c r="E10" s="16">
        <f>GETPIVOTDATA("AMOUNT(Rs)",$A$3,"TYPE","Income","MONTH","Sep-2026")-GETPIVOTDATA("AMOUNT(Rs)",$A$3,"TYPE","Expense","MONTH","Sep-2026")</f>
        <v>-11689.665487590402</v>
      </c>
      <c r="I10" s="17"/>
      <c r="J10" s="16"/>
    </row>
    <row r="11" spans="1:10" x14ac:dyDescent="0.3">
      <c r="A11" s="13" t="s">
        <v>47</v>
      </c>
      <c r="B11" s="16">
        <v>168968.17330467113</v>
      </c>
      <c r="C11" s="16">
        <v>91527.787219073711</v>
      </c>
      <c r="D11" s="16">
        <v>260495.96052374481</v>
      </c>
      <c r="E11" s="16">
        <f>SUM(E5:E10)</f>
        <v>-77440.386085597405</v>
      </c>
      <c r="J11" s="16"/>
    </row>
    <row r="15" spans="1:10" x14ac:dyDescent="0.3">
      <c r="H15" s="16"/>
      <c r="I15" s="17"/>
      <c r="J15" s="16"/>
    </row>
    <row r="16" spans="1:10" x14ac:dyDescent="0.3">
      <c r="H16" s="16"/>
      <c r="I16" s="17"/>
      <c r="J16" s="16"/>
    </row>
    <row r="17" spans="8:10" x14ac:dyDescent="0.3">
      <c r="H17" s="16"/>
      <c r="I17" s="17"/>
      <c r="J17" s="16"/>
    </row>
    <row r="18" spans="8:10" x14ac:dyDescent="0.3">
      <c r="H18" s="16"/>
      <c r="I18" s="17"/>
      <c r="J18" s="16"/>
    </row>
    <row r="19" spans="8:10" x14ac:dyDescent="0.3">
      <c r="H19" s="16"/>
      <c r="I19" s="17"/>
      <c r="J19" s="16"/>
    </row>
    <row r="20" spans="8:10" x14ac:dyDescent="0.3">
      <c r="H20" s="16"/>
      <c r="I20" s="17"/>
      <c r="J20" s="16"/>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74414-A28F-4EAC-9E06-6514C7D14BC8}">
  <dimension ref="A1:B13"/>
  <sheetViews>
    <sheetView topLeftCell="A11" zoomScale="127" workbookViewId="0">
      <selection activeCell="BA16" sqref="BA16"/>
    </sheetView>
  </sheetViews>
  <sheetFormatPr defaultRowHeight="14.4" x14ac:dyDescent="0.3"/>
  <cols>
    <col min="1" max="1" width="12.6640625" bestFit="1" customWidth="1"/>
    <col min="2" max="2" width="18.88671875" bestFit="1" customWidth="1"/>
  </cols>
  <sheetData>
    <row r="1" spans="1:2" x14ac:dyDescent="0.3">
      <c r="A1" s="12" t="s">
        <v>30</v>
      </c>
      <c r="B1" t="s">
        <v>52</v>
      </c>
    </row>
    <row r="3" spans="1:2" x14ac:dyDescent="0.3">
      <c r="A3" s="12" t="s">
        <v>53</v>
      </c>
      <c r="B3" t="s">
        <v>49</v>
      </c>
    </row>
    <row r="4" spans="1:2" x14ac:dyDescent="0.3">
      <c r="A4" s="13" t="s">
        <v>8</v>
      </c>
      <c r="B4" s="15">
        <v>23705.945358608631</v>
      </c>
    </row>
    <row r="5" spans="1:2" x14ac:dyDescent="0.3">
      <c r="A5" s="13" t="s">
        <v>10</v>
      </c>
      <c r="B5" s="15">
        <v>24349.333085792518</v>
      </c>
    </row>
    <row r="6" spans="1:2" x14ac:dyDescent="0.3">
      <c r="A6" s="13" t="s">
        <v>3</v>
      </c>
      <c r="B6" s="15">
        <v>27618.556732460504</v>
      </c>
    </row>
    <row r="7" spans="1:2" x14ac:dyDescent="0.3">
      <c r="A7" s="13" t="s">
        <v>0</v>
      </c>
      <c r="B7" s="15">
        <v>91527.787219073754</v>
      </c>
    </row>
    <row r="8" spans="1:2" x14ac:dyDescent="0.3">
      <c r="A8" s="13" t="s">
        <v>12</v>
      </c>
      <c r="B8" s="15">
        <v>9155.8261872190851</v>
      </c>
    </row>
    <row r="9" spans="1:2" x14ac:dyDescent="0.3">
      <c r="A9" s="13" t="s">
        <v>15</v>
      </c>
      <c r="B9" s="15">
        <v>26289.656282978336</v>
      </c>
    </row>
    <row r="10" spans="1:2" x14ac:dyDescent="0.3">
      <c r="A10" s="13" t="s">
        <v>6</v>
      </c>
      <c r="B10" s="15">
        <v>7395.880867695937</v>
      </c>
    </row>
    <row r="11" spans="1:2" x14ac:dyDescent="0.3">
      <c r="A11" s="13" t="s">
        <v>20</v>
      </c>
      <c r="B11" s="15">
        <v>17944.598221614287</v>
      </c>
    </row>
    <row r="12" spans="1:2" x14ac:dyDescent="0.3">
      <c r="A12" s="13" t="s">
        <v>13</v>
      </c>
      <c r="B12" s="15">
        <v>32508.376568301817</v>
      </c>
    </row>
    <row r="13" spans="1:2" x14ac:dyDescent="0.3">
      <c r="A13" s="13" t="s">
        <v>47</v>
      </c>
      <c r="B13" s="15">
        <v>260495.96052374487</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73DA1-AE18-4F82-BFC6-9102960519CC}">
  <dimension ref="A3:B13"/>
  <sheetViews>
    <sheetView workbookViewId="0">
      <selection activeCell="G9" sqref="G9"/>
    </sheetView>
  </sheetViews>
  <sheetFormatPr defaultRowHeight="14.4" x14ac:dyDescent="0.3"/>
  <cols>
    <col min="1" max="1" width="12.6640625" bestFit="1" customWidth="1"/>
    <col min="2" max="2" width="6.5546875" bestFit="1" customWidth="1"/>
  </cols>
  <sheetData>
    <row r="3" spans="1:2" x14ac:dyDescent="0.3">
      <c r="A3" s="12" t="s">
        <v>55</v>
      </c>
      <c r="B3" t="s">
        <v>56</v>
      </c>
    </row>
    <row r="4" spans="1:2" x14ac:dyDescent="0.3">
      <c r="A4" s="13" t="s">
        <v>8</v>
      </c>
      <c r="B4">
        <v>34</v>
      </c>
    </row>
    <row r="5" spans="1:2" x14ac:dyDescent="0.3">
      <c r="A5" s="13" t="s">
        <v>10</v>
      </c>
      <c r="B5">
        <v>42</v>
      </c>
    </row>
    <row r="6" spans="1:2" x14ac:dyDescent="0.3">
      <c r="A6" s="13" t="s">
        <v>3</v>
      </c>
      <c r="B6">
        <v>38</v>
      </c>
    </row>
    <row r="7" spans="1:2" x14ac:dyDescent="0.3">
      <c r="A7" s="13" t="s">
        <v>0</v>
      </c>
      <c r="B7">
        <v>56</v>
      </c>
    </row>
    <row r="8" spans="1:2" x14ac:dyDescent="0.3">
      <c r="A8" s="13" t="s">
        <v>12</v>
      </c>
      <c r="B8">
        <v>17</v>
      </c>
    </row>
    <row r="9" spans="1:2" x14ac:dyDescent="0.3">
      <c r="A9" s="13" t="s">
        <v>15</v>
      </c>
      <c r="B9">
        <v>17</v>
      </c>
    </row>
    <row r="10" spans="1:2" x14ac:dyDescent="0.3">
      <c r="A10" s="13" t="s">
        <v>6</v>
      </c>
      <c r="B10">
        <v>10</v>
      </c>
    </row>
    <row r="11" spans="1:2" x14ac:dyDescent="0.3">
      <c r="A11" s="13" t="s">
        <v>20</v>
      </c>
      <c r="B11">
        <v>31</v>
      </c>
    </row>
    <row r="12" spans="1:2" x14ac:dyDescent="0.3">
      <c r="A12" s="13" t="s">
        <v>13</v>
      </c>
      <c r="B12">
        <v>55</v>
      </c>
    </row>
    <row r="13" spans="1:2" x14ac:dyDescent="0.3">
      <c r="A13" s="13" t="s">
        <v>47</v>
      </c>
      <c r="B13">
        <v>300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6616B-E94B-4AA9-8E66-D2DFDF56A43A}">
  <dimension ref="A1:B10"/>
  <sheetViews>
    <sheetView workbookViewId="0">
      <selection activeCell="A3" sqref="A3:B3"/>
    </sheetView>
  </sheetViews>
  <sheetFormatPr defaultRowHeight="14.4" x14ac:dyDescent="0.3"/>
  <cols>
    <col min="1" max="1" width="29.33203125" customWidth="1"/>
    <col min="2" max="2" width="31.44140625" customWidth="1"/>
  </cols>
  <sheetData>
    <row r="1" spans="1:2" x14ac:dyDescent="0.3">
      <c r="A1" s="9"/>
      <c r="B1" s="9"/>
    </row>
    <row r="2" spans="1:2" x14ac:dyDescent="0.3">
      <c r="A2" s="11"/>
      <c r="B2" s="10"/>
    </row>
    <row r="3" spans="1:2" x14ac:dyDescent="0.3">
      <c r="A3" s="11"/>
      <c r="B3" s="10"/>
    </row>
    <row r="4" spans="1:2" x14ac:dyDescent="0.3">
      <c r="A4" s="11"/>
      <c r="B4" s="10"/>
    </row>
    <row r="5" spans="1:2" x14ac:dyDescent="0.3">
      <c r="A5" s="59" t="s">
        <v>35</v>
      </c>
      <c r="B5" s="59"/>
    </row>
    <row r="6" spans="1:2" ht="27.6" customHeight="1" x14ac:dyDescent="0.3">
      <c r="A6" s="58" t="s">
        <v>36</v>
      </c>
      <c r="B6" s="58"/>
    </row>
    <row r="7" spans="1:2" ht="24" customHeight="1" x14ac:dyDescent="0.3">
      <c r="A7" s="34" t="s">
        <v>37</v>
      </c>
      <c r="B7" s="35">
        <f>SUMIF(transactions!D:D,"Income",transactions!F:F)</f>
        <v>91527.787219073754</v>
      </c>
    </row>
    <row r="8" spans="1:2" ht="25.2" customHeight="1" x14ac:dyDescent="0.3">
      <c r="A8" s="34" t="s">
        <v>38</v>
      </c>
      <c r="B8" s="35">
        <f>SUMIF(transactions!D:D,"Expense",transactions!F:F)</f>
        <v>168968.17330467116</v>
      </c>
    </row>
    <row r="9" spans="1:2" ht="24.6" customHeight="1" x14ac:dyDescent="0.3">
      <c r="A9" s="34" t="s">
        <v>39</v>
      </c>
      <c r="B9" s="35">
        <f>B7-B8</f>
        <v>-77440.386085597405</v>
      </c>
    </row>
    <row r="10" spans="1:2" ht="26.4" customHeight="1" x14ac:dyDescent="0.3">
      <c r="A10" s="34" t="s">
        <v>40</v>
      </c>
      <c r="B10" s="36">
        <f>B9/B7</f>
        <v>-0.84608607329533869</v>
      </c>
    </row>
  </sheetData>
  <mergeCells count="2">
    <mergeCell ref="A6:B6"/>
    <mergeCell ref="A5:B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E4EF0-3720-45D2-8125-912D1C732AA1}">
  <dimension ref="A1:AX464"/>
  <sheetViews>
    <sheetView showGridLines="0" showRowColHeaders="0" tabSelected="1" zoomScale="40" zoomScaleNormal="45" workbookViewId="0">
      <selection activeCell="AQ87" sqref="AQ87"/>
    </sheetView>
  </sheetViews>
  <sheetFormatPr defaultRowHeight="14.4" x14ac:dyDescent="0.3"/>
  <cols>
    <col min="7" max="7" width="7.5546875" customWidth="1"/>
    <col min="8" max="8" width="11.5546875" customWidth="1"/>
    <col min="9" max="9" width="10.33203125" customWidth="1"/>
    <col min="10" max="10" width="12.77734375" customWidth="1"/>
    <col min="11" max="11" width="8.109375" customWidth="1"/>
    <col min="12" max="12" width="23.109375" customWidth="1"/>
    <col min="13" max="13" width="23.88671875" customWidth="1"/>
    <col min="14" max="14" width="29.88671875" customWidth="1"/>
    <col min="44" max="44" width="9.33203125" customWidth="1"/>
  </cols>
  <sheetData>
    <row r="1" spans="1:50" ht="97.2" customHeight="1" x14ac:dyDescent="1.25">
      <c r="A1" s="52" t="s">
        <v>54</v>
      </c>
      <c r="B1" s="53"/>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1"/>
      <c r="AR1" s="51"/>
      <c r="AS1" s="51"/>
      <c r="AT1" s="51"/>
      <c r="AU1" s="51"/>
      <c r="AV1" s="51"/>
    </row>
    <row r="2" spans="1:50" ht="116.4" customHeight="1" x14ac:dyDescent="0.3">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ht="105.6" customHeight="1" x14ac:dyDescent="0.3">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0" ht="15" thickBot="1" x14ac:dyDescent="0.35">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row>
    <row r="5" spans="1:50" x14ac:dyDescent="0.3">
      <c r="A5" s="18"/>
      <c r="B5" s="24"/>
      <c r="C5" s="25"/>
      <c r="D5" s="25"/>
      <c r="E5" s="25"/>
      <c r="F5" s="25"/>
      <c r="G5" s="25"/>
      <c r="H5" s="25"/>
      <c r="I5" s="25"/>
      <c r="J5" s="25"/>
      <c r="K5" s="25"/>
      <c r="L5" s="25"/>
      <c r="M5" s="25"/>
      <c r="N5" s="25"/>
      <c r="O5" s="26"/>
      <c r="P5" s="18"/>
      <c r="Q5" s="24"/>
      <c r="R5" s="25"/>
      <c r="S5" s="25"/>
      <c r="T5" s="25"/>
      <c r="U5" s="25"/>
      <c r="V5" s="25"/>
      <c r="W5" s="25"/>
      <c r="X5" s="25"/>
      <c r="Y5" s="25"/>
      <c r="Z5" s="25"/>
      <c r="AA5" s="25"/>
      <c r="AB5" s="25"/>
      <c r="AC5" s="25"/>
      <c r="AD5" s="25"/>
      <c r="AE5" s="25"/>
      <c r="AF5" s="25"/>
      <c r="AG5" s="25"/>
      <c r="AH5" s="25"/>
      <c r="AI5" s="25"/>
      <c r="AJ5" s="25"/>
      <c r="AK5" s="25"/>
      <c r="AL5" s="25"/>
      <c r="AM5" s="25"/>
      <c r="AN5" s="25"/>
      <c r="AO5" s="26"/>
      <c r="AP5" s="18"/>
      <c r="AQ5" s="18"/>
      <c r="AR5" s="18"/>
      <c r="AS5" s="18"/>
      <c r="AT5" s="18"/>
      <c r="AU5" s="18"/>
      <c r="AV5" s="18"/>
      <c r="AW5" s="18"/>
      <c r="AX5" s="18"/>
    </row>
    <row r="6" spans="1:50" ht="14.4" customHeight="1" x14ac:dyDescent="0.3">
      <c r="A6" s="18"/>
      <c r="B6" s="27"/>
      <c r="C6" s="18"/>
      <c r="D6" s="18"/>
      <c r="E6" s="18"/>
      <c r="F6" s="18"/>
      <c r="G6" s="18"/>
      <c r="H6" s="54" t="s">
        <v>58</v>
      </c>
      <c r="I6" s="55"/>
      <c r="J6" s="55"/>
      <c r="K6" s="55"/>
      <c r="L6" s="55"/>
      <c r="M6" s="55"/>
      <c r="N6" s="18"/>
      <c r="O6" s="28"/>
      <c r="P6" s="18"/>
      <c r="Q6" s="27"/>
      <c r="R6" s="18"/>
      <c r="S6" s="18"/>
      <c r="T6" s="18"/>
      <c r="U6" s="18"/>
      <c r="V6" s="54" t="s">
        <v>59</v>
      </c>
      <c r="W6" s="54"/>
      <c r="X6" s="54"/>
      <c r="Y6" s="54"/>
      <c r="Z6" s="54"/>
      <c r="AA6" s="54"/>
      <c r="AB6" s="54"/>
      <c r="AC6" s="54"/>
      <c r="AD6" s="54"/>
      <c r="AE6" s="54"/>
      <c r="AF6" s="54"/>
      <c r="AG6" s="54"/>
      <c r="AH6" s="54"/>
      <c r="AI6" s="54"/>
      <c r="AJ6" s="18"/>
      <c r="AK6" s="18"/>
      <c r="AL6" s="18"/>
      <c r="AM6" s="18"/>
      <c r="AN6" s="18"/>
      <c r="AO6" s="28"/>
      <c r="AP6" s="18"/>
      <c r="AQ6" s="18"/>
      <c r="AR6" s="18"/>
      <c r="AS6" s="18"/>
      <c r="AT6" s="18"/>
      <c r="AU6" s="18"/>
      <c r="AV6" s="18"/>
      <c r="AW6" s="18"/>
      <c r="AX6" s="18"/>
    </row>
    <row r="7" spans="1:50" ht="14.4" customHeight="1" x14ac:dyDescent="0.3">
      <c r="A7" s="18"/>
      <c r="B7" s="27"/>
      <c r="C7" s="18"/>
      <c r="D7" s="32"/>
      <c r="E7" s="33"/>
      <c r="F7" s="33"/>
      <c r="G7" s="33"/>
      <c r="H7" s="55"/>
      <c r="I7" s="55"/>
      <c r="J7" s="55"/>
      <c r="K7" s="55"/>
      <c r="L7" s="55"/>
      <c r="M7" s="55"/>
      <c r="N7" s="18"/>
      <c r="O7" s="28"/>
      <c r="P7" s="18"/>
      <c r="Q7" s="27"/>
      <c r="R7" s="18"/>
      <c r="S7" s="18"/>
      <c r="T7" s="18"/>
      <c r="U7" s="18"/>
      <c r="V7" s="54"/>
      <c r="W7" s="54"/>
      <c r="X7" s="54"/>
      <c r="Y7" s="54"/>
      <c r="Z7" s="54"/>
      <c r="AA7" s="54"/>
      <c r="AB7" s="54"/>
      <c r="AC7" s="54"/>
      <c r="AD7" s="54"/>
      <c r="AE7" s="54"/>
      <c r="AF7" s="54"/>
      <c r="AG7" s="54"/>
      <c r="AH7" s="54"/>
      <c r="AI7" s="54"/>
      <c r="AJ7" s="18"/>
      <c r="AK7" s="18"/>
      <c r="AL7" s="18"/>
      <c r="AM7" s="18"/>
      <c r="AN7" s="18"/>
      <c r="AO7" s="28"/>
      <c r="AP7" s="18"/>
      <c r="AQ7" s="18"/>
      <c r="AR7" s="18"/>
      <c r="AS7" s="18"/>
      <c r="AT7" s="18"/>
      <c r="AU7" s="18"/>
      <c r="AV7" s="18"/>
      <c r="AW7" s="18"/>
      <c r="AX7" s="18"/>
    </row>
    <row r="8" spans="1:50" x14ac:dyDescent="0.3">
      <c r="A8" s="18"/>
      <c r="B8" s="27"/>
      <c r="C8" s="18"/>
      <c r="D8" s="33"/>
      <c r="E8" s="33"/>
      <c r="F8" s="33"/>
      <c r="G8" s="33"/>
      <c r="H8" s="55"/>
      <c r="I8" s="55"/>
      <c r="J8" s="55"/>
      <c r="K8" s="55"/>
      <c r="L8" s="55"/>
      <c r="M8" s="55"/>
      <c r="N8" s="18"/>
      <c r="O8" s="28"/>
      <c r="P8" s="18"/>
      <c r="Q8" s="27"/>
      <c r="R8" s="18"/>
      <c r="S8" s="18"/>
      <c r="T8" s="18"/>
      <c r="U8" s="18"/>
      <c r="V8" s="54"/>
      <c r="W8" s="54"/>
      <c r="X8" s="54"/>
      <c r="Y8" s="54"/>
      <c r="Z8" s="54"/>
      <c r="AA8" s="54"/>
      <c r="AB8" s="54"/>
      <c r="AC8" s="54"/>
      <c r="AD8" s="54"/>
      <c r="AE8" s="54"/>
      <c r="AF8" s="54"/>
      <c r="AG8" s="54"/>
      <c r="AH8" s="54"/>
      <c r="AI8" s="54"/>
      <c r="AJ8" s="18"/>
      <c r="AK8" s="18"/>
      <c r="AL8" s="18"/>
      <c r="AM8" s="18"/>
      <c r="AN8" s="18"/>
      <c r="AO8" s="28"/>
      <c r="AP8" s="18"/>
      <c r="AQ8" s="18"/>
      <c r="AR8" s="18"/>
      <c r="AS8" s="18"/>
      <c r="AT8" s="18"/>
      <c r="AU8" s="18"/>
      <c r="AV8" s="18"/>
      <c r="AW8" s="18"/>
      <c r="AX8" s="18"/>
    </row>
    <row r="9" spans="1:50" ht="21.6" customHeight="1" x14ac:dyDescent="0.3">
      <c r="A9" s="18"/>
      <c r="B9" s="27"/>
      <c r="C9" s="18"/>
      <c r="D9" s="33"/>
      <c r="E9" s="33"/>
      <c r="F9" s="33"/>
      <c r="G9" s="33"/>
      <c r="H9" s="33"/>
      <c r="I9" s="33"/>
      <c r="J9" s="33"/>
      <c r="K9" s="18"/>
      <c r="L9" s="18"/>
      <c r="M9" s="18"/>
      <c r="N9" s="18"/>
      <c r="O9" s="28"/>
      <c r="P9" s="18"/>
      <c r="Q9" s="27"/>
      <c r="R9" s="18"/>
      <c r="S9" s="18"/>
      <c r="T9" s="18"/>
      <c r="U9" s="18"/>
      <c r="V9" s="18"/>
      <c r="W9" s="18"/>
      <c r="X9" s="18"/>
      <c r="Y9" s="18"/>
      <c r="Z9" s="18"/>
      <c r="AA9" s="18"/>
      <c r="AB9" s="18"/>
      <c r="AC9" s="18"/>
      <c r="AD9" s="18"/>
      <c r="AE9" s="18"/>
      <c r="AF9" s="18"/>
      <c r="AG9" s="18"/>
      <c r="AH9" s="18"/>
      <c r="AI9" s="18"/>
      <c r="AJ9" s="18"/>
      <c r="AK9" s="18"/>
      <c r="AL9" s="18"/>
      <c r="AM9" s="18"/>
      <c r="AN9" s="18"/>
      <c r="AO9" s="28"/>
      <c r="AP9" s="18"/>
      <c r="AQ9" s="18"/>
      <c r="AR9" s="18"/>
      <c r="AS9" s="18"/>
      <c r="AT9" s="18"/>
      <c r="AU9" s="18"/>
      <c r="AV9" s="18"/>
      <c r="AW9" s="18"/>
      <c r="AX9" s="18"/>
    </row>
    <row r="10" spans="1:50" ht="30" customHeight="1" x14ac:dyDescent="0.4">
      <c r="A10" s="18"/>
      <c r="B10" s="27"/>
      <c r="C10" s="18"/>
      <c r="D10" s="18"/>
      <c r="E10" s="18"/>
      <c r="F10" s="18"/>
      <c r="J10" s="18"/>
      <c r="K10" s="18"/>
      <c r="L10" s="37" t="s">
        <v>29</v>
      </c>
      <c r="M10" s="37" t="s">
        <v>32</v>
      </c>
      <c r="N10" s="38" t="s">
        <v>57</v>
      </c>
      <c r="O10" s="28"/>
      <c r="P10" s="18"/>
      <c r="Q10" s="27"/>
      <c r="R10" s="18"/>
      <c r="S10" s="18"/>
      <c r="T10" s="18"/>
      <c r="U10" s="18"/>
      <c r="V10" s="18"/>
      <c r="W10" s="18"/>
      <c r="X10" s="18"/>
      <c r="Y10" s="18"/>
      <c r="Z10" s="18"/>
      <c r="AA10" s="18"/>
      <c r="AB10" s="18"/>
      <c r="AC10" s="18"/>
      <c r="AD10" s="18"/>
      <c r="AE10" s="18"/>
      <c r="AF10" s="18"/>
      <c r="AG10" s="18"/>
      <c r="AH10" s="18"/>
      <c r="AI10" s="18"/>
      <c r="AJ10" s="18"/>
      <c r="AK10" s="18"/>
      <c r="AL10" s="18"/>
      <c r="AM10" s="18"/>
      <c r="AN10" s="18"/>
      <c r="AO10" s="28"/>
      <c r="AP10" s="18"/>
      <c r="AQ10" s="18"/>
      <c r="AR10" s="18"/>
      <c r="AS10" s="18"/>
      <c r="AT10" s="18"/>
      <c r="AU10" s="18"/>
      <c r="AV10" s="18"/>
      <c r="AW10" s="18"/>
      <c r="AX10" s="18"/>
    </row>
    <row r="11" spans="1:50" ht="30" customHeight="1" x14ac:dyDescent="0.5">
      <c r="A11" s="18"/>
      <c r="B11" s="27"/>
      <c r="C11" s="18"/>
      <c r="D11" s="18"/>
      <c r="E11" s="18"/>
      <c r="F11" s="18"/>
      <c r="J11" s="18"/>
      <c r="K11" s="18"/>
      <c r="L11" s="39" t="s">
        <v>8</v>
      </c>
      <c r="M11" s="40">
        <v>23705.945358608631</v>
      </c>
      <c r="N11" s="41">
        <v>14</v>
      </c>
      <c r="O11" s="28"/>
      <c r="P11" s="18"/>
      <c r="Q11" s="27"/>
      <c r="R11" s="18"/>
      <c r="S11" s="18"/>
      <c r="T11" s="18"/>
      <c r="U11" s="18"/>
      <c r="V11" s="18"/>
      <c r="W11" s="18"/>
      <c r="X11" s="18"/>
      <c r="Y11" s="18"/>
      <c r="Z11" s="18"/>
      <c r="AA11" s="18"/>
      <c r="AB11" s="18"/>
      <c r="AC11" s="18"/>
      <c r="AD11" s="18"/>
      <c r="AE11" s="18"/>
      <c r="AF11" s="18"/>
      <c r="AG11" s="18"/>
      <c r="AH11" s="18"/>
      <c r="AI11" s="18"/>
      <c r="AJ11" s="18"/>
      <c r="AK11" s="18"/>
      <c r="AL11" s="18"/>
      <c r="AM11" s="18"/>
      <c r="AN11" s="18"/>
      <c r="AO11" s="28"/>
      <c r="AP11" s="18"/>
      <c r="AQ11" s="18"/>
      <c r="AR11" s="18"/>
      <c r="AS11" s="18"/>
      <c r="AT11" s="18"/>
      <c r="AU11" s="18"/>
      <c r="AV11" s="18"/>
      <c r="AW11" s="18"/>
      <c r="AX11" s="18"/>
    </row>
    <row r="12" spans="1:50" ht="30" customHeight="1" x14ac:dyDescent="0.5">
      <c r="A12" s="18"/>
      <c r="B12" s="27"/>
      <c r="C12" s="18"/>
      <c r="D12" s="18"/>
      <c r="E12" s="18"/>
      <c r="F12" s="18"/>
      <c r="J12" s="18"/>
      <c r="K12" s="18"/>
      <c r="L12" s="42" t="s">
        <v>10</v>
      </c>
      <c r="M12" s="40">
        <v>24349.333085792518</v>
      </c>
      <c r="N12" s="41">
        <v>14</v>
      </c>
      <c r="O12" s="28"/>
      <c r="P12" s="18"/>
      <c r="Q12" s="27"/>
      <c r="R12" s="18"/>
      <c r="S12" s="18"/>
      <c r="T12" s="18"/>
      <c r="U12" s="18"/>
      <c r="V12" s="18"/>
      <c r="W12" s="18"/>
      <c r="X12" s="18"/>
      <c r="Y12" s="18"/>
      <c r="Z12" s="18"/>
      <c r="AA12" s="18"/>
      <c r="AB12" s="18"/>
      <c r="AC12" s="18"/>
      <c r="AD12" s="18"/>
      <c r="AE12" s="18"/>
      <c r="AF12" s="18"/>
      <c r="AG12" s="18"/>
      <c r="AH12" s="18"/>
      <c r="AI12" s="18"/>
      <c r="AJ12" s="18"/>
      <c r="AK12" s="18"/>
      <c r="AL12" s="18"/>
      <c r="AM12" s="18"/>
      <c r="AN12" s="18"/>
      <c r="AO12" s="28"/>
      <c r="AP12" s="18"/>
      <c r="AQ12" s="18"/>
      <c r="AR12" s="18"/>
      <c r="AS12" s="18"/>
      <c r="AT12" s="18"/>
      <c r="AU12" s="18"/>
      <c r="AV12" s="18"/>
      <c r="AW12" s="18"/>
      <c r="AX12" s="18"/>
    </row>
    <row r="13" spans="1:50" ht="30" customHeight="1" x14ac:dyDescent="0.5">
      <c r="A13" s="18"/>
      <c r="B13" s="27"/>
      <c r="C13" s="18"/>
      <c r="D13" s="18"/>
      <c r="E13" s="18"/>
      <c r="F13" s="18"/>
      <c r="J13" s="18"/>
      <c r="K13" s="18"/>
      <c r="L13" s="43" t="s">
        <v>3</v>
      </c>
      <c r="M13" s="40">
        <v>27618.556732460504</v>
      </c>
      <c r="N13" s="41">
        <v>16</v>
      </c>
      <c r="O13" s="28"/>
      <c r="P13" s="18"/>
      <c r="Q13" s="27"/>
      <c r="R13" s="18"/>
      <c r="S13" s="18"/>
      <c r="T13" s="18"/>
      <c r="U13" s="18"/>
      <c r="V13" s="18"/>
      <c r="W13" s="18"/>
      <c r="X13" s="18"/>
      <c r="Y13" s="18"/>
      <c r="Z13" s="18"/>
      <c r="AA13" s="18"/>
      <c r="AB13" s="18"/>
      <c r="AC13" s="18"/>
      <c r="AD13" s="18"/>
      <c r="AE13" s="18"/>
      <c r="AF13" s="18"/>
      <c r="AG13" s="18"/>
      <c r="AH13" s="18"/>
      <c r="AI13" s="18"/>
      <c r="AJ13" s="18"/>
      <c r="AK13" s="18"/>
      <c r="AL13" s="18"/>
      <c r="AM13" s="18"/>
      <c r="AN13" s="18"/>
      <c r="AO13" s="28"/>
      <c r="AP13" s="18"/>
      <c r="AQ13" s="18"/>
      <c r="AR13" s="18"/>
      <c r="AS13" s="18"/>
      <c r="AT13" s="18"/>
      <c r="AU13" s="18"/>
      <c r="AV13" s="18"/>
      <c r="AW13" s="18"/>
      <c r="AX13" s="18"/>
    </row>
    <row r="14" spans="1:50" ht="30" customHeight="1" x14ac:dyDescent="0.5">
      <c r="A14" s="18"/>
      <c r="B14" s="27"/>
      <c r="C14" s="18"/>
      <c r="D14" s="18"/>
      <c r="E14" s="18"/>
      <c r="F14" s="18"/>
      <c r="J14" s="18"/>
      <c r="K14" s="18"/>
      <c r="L14" s="44" t="s">
        <v>12</v>
      </c>
      <c r="M14" s="40">
        <v>9155.8261872190851</v>
      </c>
      <c r="N14" s="41">
        <v>6</v>
      </c>
      <c r="O14" s="28"/>
      <c r="P14" s="18"/>
      <c r="Q14" s="27"/>
      <c r="R14" s="18"/>
      <c r="S14" s="18"/>
      <c r="T14" s="18"/>
      <c r="U14" s="18"/>
      <c r="V14" s="18"/>
      <c r="W14" s="18"/>
      <c r="X14" s="18"/>
      <c r="Y14" s="18"/>
      <c r="Z14" s="18"/>
      <c r="AA14" s="18"/>
      <c r="AB14" s="18"/>
      <c r="AC14" s="18"/>
      <c r="AD14" s="18"/>
      <c r="AE14" s="18"/>
      <c r="AF14" s="18"/>
      <c r="AG14" s="18"/>
      <c r="AH14" s="18"/>
      <c r="AI14" s="18"/>
      <c r="AJ14" s="18"/>
      <c r="AK14" s="18"/>
      <c r="AL14" s="18"/>
      <c r="AM14" s="18"/>
      <c r="AN14" s="18"/>
      <c r="AO14" s="28"/>
      <c r="AP14" s="18"/>
      <c r="AQ14" s="18"/>
      <c r="AR14" s="18"/>
      <c r="AS14" s="18"/>
      <c r="AT14" s="18"/>
      <c r="AU14" s="18"/>
      <c r="AV14" s="18"/>
      <c r="AW14" s="18"/>
      <c r="AX14" s="18"/>
    </row>
    <row r="15" spans="1:50" ht="30" customHeight="1" x14ac:dyDescent="0.5">
      <c r="A15" s="18"/>
      <c r="B15" s="27"/>
      <c r="C15" s="18"/>
      <c r="D15" s="18"/>
      <c r="E15" s="18"/>
      <c r="F15" s="18"/>
      <c r="J15" s="18"/>
      <c r="K15" s="18"/>
      <c r="L15" s="45" t="s">
        <v>15</v>
      </c>
      <c r="M15" s="40">
        <v>26289.65628297834</v>
      </c>
      <c r="N15" s="41">
        <v>16</v>
      </c>
      <c r="O15" s="28"/>
      <c r="P15" s="18"/>
      <c r="Q15" s="27"/>
      <c r="R15" s="18"/>
      <c r="S15" s="18"/>
      <c r="T15" s="18"/>
      <c r="U15" s="18"/>
      <c r="V15" s="18"/>
      <c r="W15" s="18"/>
      <c r="X15" s="18"/>
      <c r="Y15" s="18"/>
      <c r="Z15" s="18"/>
      <c r="AA15" s="18"/>
      <c r="AB15" s="18"/>
      <c r="AC15" s="18"/>
      <c r="AD15" s="18"/>
      <c r="AE15" s="18"/>
      <c r="AF15" s="18"/>
      <c r="AG15" s="18"/>
      <c r="AH15" s="18"/>
      <c r="AI15" s="18"/>
      <c r="AJ15" s="18"/>
      <c r="AK15" s="18"/>
      <c r="AL15" s="18"/>
      <c r="AM15" s="18"/>
      <c r="AN15" s="18"/>
      <c r="AO15" s="28"/>
      <c r="AP15" s="18"/>
      <c r="AQ15" s="18"/>
      <c r="AR15" s="18"/>
      <c r="AS15" s="18"/>
      <c r="AT15" s="18"/>
      <c r="AU15" s="18"/>
      <c r="AV15" s="18"/>
      <c r="AW15" s="18"/>
      <c r="AX15" s="18"/>
    </row>
    <row r="16" spans="1:50" ht="30" customHeight="1" x14ac:dyDescent="0.5">
      <c r="A16" s="18"/>
      <c r="B16" s="27"/>
      <c r="C16" s="18"/>
      <c r="D16" s="18"/>
      <c r="E16" s="18"/>
      <c r="F16" s="18"/>
      <c r="J16" s="18"/>
      <c r="K16" s="18"/>
      <c r="L16" s="46" t="s">
        <v>6</v>
      </c>
      <c r="M16" s="40">
        <v>7395.8808676959361</v>
      </c>
      <c r="N16" s="41">
        <v>4</v>
      </c>
      <c r="O16" s="28"/>
      <c r="P16" s="18"/>
      <c r="Q16" s="27"/>
      <c r="R16" s="18"/>
      <c r="S16" s="18"/>
      <c r="T16" s="18"/>
      <c r="U16" s="18"/>
      <c r="V16" s="18"/>
      <c r="W16" s="18"/>
      <c r="X16" s="18"/>
      <c r="Y16" s="18"/>
      <c r="Z16" s="18"/>
      <c r="AA16" s="18"/>
      <c r="AB16" s="18"/>
      <c r="AC16" s="18"/>
      <c r="AD16" s="18"/>
      <c r="AE16" s="18"/>
      <c r="AF16" s="18"/>
      <c r="AG16" s="18"/>
      <c r="AH16" s="18"/>
      <c r="AI16" s="18"/>
      <c r="AJ16" s="18"/>
      <c r="AK16" s="18"/>
      <c r="AL16" s="18"/>
      <c r="AM16" s="18"/>
      <c r="AN16" s="18"/>
      <c r="AO16" s="28"/>
      <c r="AP16" s="18"/>
      <c r="AQ16" s="18"/>
      <c r="AR16" s="18"/>
      <c r="AS16" s="18"/>
      <c r="AT16" s="18"/>
      <c r="AU16" s="18"/>
      <c r="AV16" s="18"/>
      <c r="AW16" s="18"/>
      <c r="AX16" s="18"/>
    </row>
    <row r="17" spans="1:50" ht="30" customHeight="1" x14ac:dyDescent="0.5">
      <c r="A17" s="18"/>
      <c r="B17" s="27"/>
      <c r="C17" s="18"/>
      <c r="D17" s="18"/>
      <c r="E17" s="18"/>
      <c r="F17" s="18"/>
      <c r="J17" s="18"/>
      <c r="K17" s="18"/>
      <c r="L17" s="47" t="s">
        <v>20</v>
      </c>
      <c r="M17" s="40">
        <v>17944.598221614287</v>
      </c>
      <c r="N17" s="41">
        <v>11</v>
      </c>
      <c r="O17" s="28"/>
      <c r="P17" s="18"/>
      <c r="Q17" s="27"/>
      <c r="R17" s="18"/>
      <c r="S17" s="18"/>
      <c r="T17" s="18"/>
      <c r="U17" s="18"/>
      <c r="V17" s="18"/>
      <c r="W17" s="18"/>
      <c r="X17" s="18"/>
      <c r="Y17" s="18"/>
      <c r="Z17" s="18"/>
      <c r="AA17" s="18"/>
      <c r="AB17" s="18"/>
      <c r="AC17" s="18"/>
      <c r="AD17" s="18"/>
      <c r="AE17" s="18"/>
      <c r="AF17" s="18"/>
      <c r="AG17" s="18"/>
      <c r="AH17" s="18"/>
      <c r="AI17" s="18"/>
      <c r="AJ17" s="18"/>
      <c r="AK17" s="18"/>
      <c r="AL17" s="18"/>
      <c r="AM17" s="18"/>
      <c r="AN17" s="18"/>
      <c r="AO17" s="28"/>
      <c r="AP17" s="18"/>
      <c r="AQ17" s="18"/>
      <c r="AR17" s="18"/>
      <c r="AS17" s="18"/>
      <c r="AT17" s="18"/>
      <c r="AU17" s="18"/>
      <c r="AV17" s="18"/>
      <c r="AW17" s="18"/>
      <c r="AX17" s="18"/>
    </row>
    <row r="18" spans="1:50" ht="30" customHeight="1" x14ac:dyDescent="0.5">
      <c r="A18" s="18"/>
      <c r="B18" s="27"/>
      <c r="C18" s="18"/>
      <c r="D18" s="18"/>
      <c r="E18" s="18"/>
      <c r="F18" s="18"/>
      <c r="J18" s="18"/>
      <c r="K18" s="18"/>
      <c r="L18" s="48" t="s">
        <v>13</v>
      </c>
      <c r="M18" s="40">
        <v>32508.376568301821</v>
      </c>
      <c r="N18" s="41">
        <v>19</v>
      </c>
      <c r="O18" s="28"/>
      <c r="P18" s="18"/>
      <c r="Q18" s="27"/>
      <c r="R18" s="18"/>
      <c r="S18" s="18"/>
      <c r="T18" s="18"/>
      <c r="U18" s="18"/>
      <c r="V18" s="18"/>
      <c r="W18" s="18"/>
      <c r="X18" s="18"/>
      <c r="Y18" s="18"/>
      <c r="Z18" s="18"/>
      <c r="AA18" s="18"/>
      <c r="AB18" s="18"/>
      <c r="AC18" s="18"/>
      <c r="AD18" s="18"/>
      <c r="AE18" s="18"/>
      <c r="AF18" s="18"/>
      <c r="AG18" s="18"/>
      <c r="AH18" s="18"/>
      <c r="AI18" s="18"/>
      <c r="AJ18" s="18"/>
      <c r="AK18" s="18"/>
      <c r="AL18" s="18"/>
      <c r="AM18" s="18"/>
      <c r="AN18" s="18"/>
      <c r="AO18" s="28"/>
      <c r="AP18" s="18"/>
      <c r="AQ18" s="18"/>
      <c r="AR18" s="18"/>
      <c r="AS18" s="18"/>
      <c r="AT18" s="18"/>
      <c r="AU18" s="18"/>
      <c r="AV18" s="18"/>
      <c r="AW18" s="18"/>
      <c r="AX18" s="18"/>
    </row>
    <row r="19" spans="1:50" ht="46.8" customHeight="1" x14ac:dyDescent="0.5">
      <c r="A19" s="18"/>
      <c r="B19" s="27"/>
      <c r="C19" s="18"/>
      <c r="D19" s="18"/>
      <c r="E19" s="18"/>
      <c r="F19" s="18"/>
      <c r="J19" s="18"/>
      <c r="K19" s="18"/>
      <c r="L19" s="49" t="s">
        <v>47</v>
      </c>
      <c r="M19" s="50">
        <v>168968.1733046711</v>
      </c>
      <c r="N19" s="41">
        <f>SUM(N11:N18)</f>
        <v>100</v>
      </c>
      <c r="O19" s="28"/>
      <c r="P19" s="18"/>
      <c r="Q19" s="27"/>
      <c r="R19" s="18"/>
      <c r="S19" s="18"/>
      <c r="T19" s="18"/>
      <c r="U19" s="18"/>
      <c r="V19" s="18"/>
      <c r="W19" s="18"/>
      <c r="X19" s="18"/>
      <c r="Y19" s="18"/>
      <c r="Z19" s="18"/>
      <c r="AA19" s="18"/>
      <c r="AB19" s="18"/>
      <c r="AC19" s="18"/>
      <c r="AD19" s="18"/>
      <c r="AE19" s="18"/>
      <c r="AF19" s="18"/>
      <c r="AG19" s="18"/>
      <c r="AH19" s="18"/>
      <c r="AI19" s="18"/>
      <c r="AJ19" s="18"/>
      <c r="AK19" s="18"/>
      <c r="AL19" s="18"/>
      <c r="AM19" s="18"/>
      <c r="AN19" s="18"/>
      <c r="AO19" s="28"/>
      <c r="AP19" s="18"/>
      <c r="AQ19" s="18"/>
      <c r="AR19" s="18"/>
      <c r="AS19" s="18"/>
      <c r="AT19" s="18"/>
      <c r="AU19" s="18"/>
      <c r="AV19" s="18"/>
      <c r="AW19" s="18"/>
      <c r="AX19" s="18"/>
    </row>
    <row r="20" spans="1:50" x14ac:dyDescent="0.3">
      <c r="A20" s="18"/>
      <c r="B20" s="27"/>
      <c r="C20" s="18"/>
      <c r="D20" s="18"/>
      <c r="E20" s="18"/>
      <c r="F20" s="18"/>
      <c r="G20" s="18"/>
      <c r="H20" s="18"/>
      <c r="I20" s="18"/>
      <c r="J20" s="18"/>
      <c r="K20" s="18"/>
      <c r="L20" s="18"/>
      <c r="M20" s="18"/>
      <c r="N20" s="18"/>
      <c r="O20" s="28"/>
      <c r="P20" s="18"/>
      <c r="Q20" s="27"/>
      <c r="R20" s="18"/>
      <c r="S20" s="18"/>
      <c r="T20" s="18"/>
      <c r="U20" s="18"/>
      <c r="V20" s="18"/>
      <c r="W20" s="18"/>
      <c r="X20" s="18"/>
      <c r="Y20" s="18"/>
      <c r="Z20" s="18"/>
      <c r="AA20" s="18"/>
      <c r="AB20" s="18"/>
      <c r="AC20" s="18"/>
      <c r="AD20" s="18"/>
      <c r="AE20" s="18"/>
      <c r="AF20" s="18"/>
      <c r="AG20" s="18"/>
      <c r="AH20" s="18"/>
      <c r="AI20" s="18"/>
      <c r="AJ20" s="18"/>
      <c r="AK20" s="18"/>
      <c r="AL20" s="18"/>
      <c r="AM20" s="18"/>
      <c r="AN20" s="18"/>
      <c r="AO20" s="28"/>
      <c r="AP20" s="18"/>
      <c r="AQ20" s="18"/>
      <c r="AR20" s="18"/>
      <c r="AS20" s="18"/>
      <c r="AT20" s="18"/>
      <c r="AU20" s="18"/>
      <c r="AV20" s="18"/>
      <c r="AW20" s="18"/>
      <c r="AX20" s="18"/>
    </row>
    <row r="21" spans="1:50" x14ac:dyDescent="0.3">
      <c r="A21" s="18"/>
      <c r="B21" s="27"/>
      <c r="C21" s="18"/>
      <c r="D21" s="18"/>
      <c r="E21" s="18"/>
      <c r="F21" s="18"/>
      <c r="G21" s="18"/>
      <c r="H21" s="18"/>
      <c r="I21" s="18"/>
      <c r="J21" s="18"/>
      <c r="K21" s="18"/>
      <c r="L21" s="18"/>
      <c r="M21" s="18"/>
      <c r="N21" s="18"/>
      <c r="O21" s="28"/>
      <c r="P21" s="18"/>
      <c r="Q21" s="27"/>
      <c r="R21" s="18"/>
      <c r="S21" s="18"/>
      <c r="T21" s="18"/>
      <c r="U21" s="18"/>
      <c r="V21" s="18"/>
      <c r="W21" s="18"/>
      <c r="X21" s="18"/>
      <c r="Y21" s="18"/>
      <c r="Z21" s="18"/>
      <c r="AA21" s="18"/>
      <c r="AB21" s="18"/>
      <c r="AC21" s="18"/>
      <c r="AD21" s="18"/>
      <c r="AE21" s="18"/>
      <c r="AF21" s="18"/>
      <c r="AG21" s="18"/>
      <c r="AH21" s="18"/>
      <c r="AI21" s="18"/>
      <c r="AJ21" s="18"/>
      <c r="AK21" s="18"/>
      <c r="AL21" s="18"/>
      <c r="AM21" s="18"/>
      <c r="AN21" s="18"/>
      <c r="AO21" s="28"/>
      <c r="AP21" s="18"/>
      <c r="AQ21" s="18"/>
      <c r="AR21" s="18"/>
      <c r="AS21" s="18"/>
      <c r="AT21" s="18"/>
      <c r="AU21" s="18"/>
      <c r="AV21" s="18"/>
      <c r="AW21" s="18"/>
      <c r="AX21" s="18"/>
    </row>
    <row r="22" spans="1:50" ht="15" thickBot="1" x14ac:dyDescent="0.35">
      <c r="A22" s="18"/>
      <c r="B22" s="29"/>
      <c r="C22" s="30"/>
      <c r="D22" s="30"/>
      <c r="E22" s="30"/>
      <c r="F22" s="30"/>
      <c r="G22" s="30"/>
      <c r="H22" s="30"/>
      <c r="I22" s="30"/>
      <c r="J22" s="30"/>
      <c r="K22" s="30"/>
      <c r="L22" s="30"/>
      <c r="M22" s="30"/>
      <c r="N22" s="30"/>
      <c r="O22" s="31"/>
      <c r="P22" s="18"/>
      <c r="Q22" s="29"/>
      <c r="R22" s="30"/>
      <c r="S22" s="30"/>
      <c r="T22" s="30"/>
      <c r="U22" s="30"/>
      <c r="V22" s="30"/>
      <c r="W22" s="30"/>
      <c r="X22" s="30"/>
      <c r="Y22" s="30"/>
      <c r="Z22" s="30"/>
      <c r="AA22" s="30"/>
      <c r="AB22" s="30"/>
      <c r="AC22" s="30"/>
      <c r="AD22" s="30"/>
      <c r="AE22" s="30"/>
      <c r="AF22" s="30"/>
      <c r="AG22" s="30"/>
      <c r="AH22" s="30"/>
      <c r="AI22" s="30"/>
      <c r="AJ22" s="30"/>
      <c r="AK22" s="30"/>
      <c r="AL22" s="30"/>
      <c r="AM22" s="30"/>
      <c r="AN22" s="30"/>
      <c r="AO22" s="31"/>
      <c r="AP22" s="18"/>
      <c r="AQ22" s="18"/>
      <c r="AR22" s="18"/>
      <c r="AS22" s="18"/>
      <c r="AT22" s="18"/>
      <c r="AU22" s="18"/>
      <c r="AV22" s="18"/>
      <c r="AW22" s="18"/>
      <c r="AX22" s="18"/>
    </row>
    <row r="23" spans="1:50" x14ac:dyDescent="0.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row>
    <row r="24" spans="1:50" ht="15" thickBot="1" x14ac:dyDescent="0.35">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row>
    <row r="25" spans="1:50" ht="15" thickBot="1" x14ac:dyDescent="0.35">
      <c r="A25" s="18"/>
      <c r="B25" s="18"/>
      <c r="C25" s="18"/>
      <c r="D25" s="18"/>
      <c r="E25" s="18"/>
      <c r="F25" s="18"/>
      <c r="G25" s="18"/>
      <c r="H25" s="18"/>
      <c r="I25" s="18"/>
      <c r="J25" s="18"/>
      <c r="K25" s="18"/>
      <c r="L25" s="18"/>
      <c r="M25" s="18"/>
      <c r="N25" s="18"/>
      <c r="O25" s="18"/>
      <c r="P25" s="18"/>
      <c r="Q25" s="24"/>
      <c r="R25" s="25"/>
      <c r="S25" s="25"/>
      <c r="T25" s="25"/>
      <c r="U25" s="25"/>
      <c r="V25" s="25"/>
      <c r="W25" s="25"/>
      <c r="X25" s="25"/>
      <c r="Y25" s="25"/>
      <c r="Z25" s="25"/>
      <c r="AA25" s="25"/>
      <c r="AB25" s="25"/>
      <c r="AC25" s="25"/>
      <c r="AD25" s="26"/>
      <c r="AE25" s="18"/>
      <c r="AF25" s="24"/>
      <c r="AG25" s="25"/>
      <c r="AH25" s="25"/>
      <c r="AI25" s="25"/>
      <c r="AJ25" s="25"/>
      <c r="AK25" s="25"/>
      <c r="AL25" s="25"/>
      <c r="AM25" s="25"/>
      <c r="AN25" s="25"/>
      <c r="AO25" s="26"/>
      <c r="AP25" s="18"/>
      <c r="AQ25" s="18"/>
      <c r="AR25" s="18"/>
      <c r="AS25" s="18"/>
      <c r="AT25" s="18"/>
      <c r="AU25" s="18"/>
      <c r="AV25" s="18"/>
      <c r="AW25" s="18"/>
      <c r="AX25" s="18"/>
    </row>
    <row r="26" spans="1:50" x14ac:dyDescent="0.3">
      <c r="A26" s="18"/>
      <c r="B26" s="24"/>
      <c r="C26" s="25"/>
      <c r="D26" s="25"/>
      <c r="E26" s="25"/>
      <c r="F26" s="25"/>
      <c r="G26" s="25"/>
      <c r="H26" s="56" t="s">
        <v>60</v>
      </c>
      <c r="I26" s="57"/>
      <c r="J26" s="57"/>
      <c r="K26" s="57"/>
      <c r="L26" s="57"/>
      <c r="M26" s="25"/>
      <c r="N26" s="25"/>
      <c r="O26" s="26"/>
      <c r="P26" s="18"/>
      <c r="Q26" s="27"/>
      <c r="R26" s="18"/>
      <c r="S26" s="18"/>
      <c r="T26" s="18"/>
      <c r="U26" s="18"/>
      <c r="V26" s="18"/>
      <c r="W26" s="18"/>
      <c r="X26" s="18"/>
      <c r="Y26" s="18"/>
      <c r="Z26" s="18"/>
      <c r="AA26" s="18"/>
      <c r="AB26" s="18"/>
      <c r="AC26" s="18"/>
      <c r="AD26" s="28"/>
      <c r="AE26" s="18"/>
      <c r="AF26" s="27"/>
      <c r="AG26" s="18"/>
      <c r="AH26" s="18"/>
      <c r="AI26" s="18"/>
      <c r="AJ26" s="18"/>
      <c r="AK26" s="18"/>
      <c r="AL26" s="18"/>
      <c r="AM26" s="18"/>
      <c r="AN26" s="18"/>
      <c r="AO26" s="28"/>
      <c r="AP26" s="18"/>
      <c r="AQ26" s="18"/>
      <c r="AR26" s="18"/>
      <c r="AS26" s="18"/>
      <c r="AT26" s="18"/>
      <c r="AU26" s="18"/>
      <c r="AV26" s="18"/>
      <c r="AW26" s="18"/>
      <c r="AX26" s="18"/>
    </row>
    <row r="27" spans="1:50" x14ac:dyDescent="0.3">
      <c r="A27" s="18"/>
      <c r="B27" s="27"/>
      <c r="C27" s="18"/>
      <c r="D27" s="18"/>
      <c r="E27" s="18"/>
      <c r="F27" s="18"/>
      <c r="G27" s="18"/>
      <c r="H27" s="55"/>
      <c r="I27" s="55"/>
      <c r="J27" s="55"/>
      <c r="K27" s="55"/>
      <c r="L27" s="55"/>
      <c r="M27" s="18"/>
      <c r="N27" s="18"/>
      <c r="O27" s="28"/>
      <c r="P27" s="18"/>
      <c r="Q27" s="27"/>
      <c r="R27" s="18"/>
      <c r="S27" s="18"/>
      <c r="T27" s="18"/>
      <c r="U27" s="18"/>
      <c r="V27" s="18"/>
      <c r="W27" s="18"/>
      <c r="X27" s="18"/>
      <c r="Y27" s="18"/>
      <c r="Z27" s="18"/>
      <c r="AA27" s="18"/>
      <c r="AB27" s="18"/>
      <c r="AC27" s="18"/>
      <c r="AD27" s="28"/>
      <c r="AE27" s="18"/>
      <c r="AF27" s="27"/>
      <c r="AG27" s="18"/>
      <c r="AH27" s="18"/>
      <c r="AI27" s="18"/>
      <c r="AJ27" s="18"/>
      <c r="AK27" s="18"/>
      <c r="AL27" s="18"/>
      <c r="AM27" s="18"/>
      <c r="AN27" s="18"/>
      <c r="AO27" s="28"/>
      <c r="AP27" s="18"/>
      <c r="AQ27" s="18"/>
      <c r="AR27" s="18"/>
      <c r="AS27" s="18"/>
      <c r="AT27" s="18"/>
      <c r="AU27" s="18"/>
      <c r="AV27" s="18"/>
      <c r="AW27" s="18"/>
      <c r="AX27" s="18"/>
    </row>
    <row r="28" spans="1:50" x14ac:dyDescent="0.3">
      <c r="A28" s="18"/>
      <c r="B28" s="27"/>
      <c r="C28" s="18"/>
      <c r="D28" s="18"/>
      <c r="E28" s="18"/>
      <c r="F28" s="18"/>
      <c r="G28" s="18"/>
      <c r="H28" s="18"/>
      <c r="I28" s="18"/>
      <c r="J28" s="18"/>
      <c r="K28" s="18"/>
      <c r="L28" s="18"/>
      <c r="M28" s="18"/>
      <c r="N28" s="18"/>
      <c r="O28" s="28"/>
      <c r="P28" s="18"/>
      <c r="Q28" s="27"/>
      <c r="R28" s="18"/>
      <c r="S28" s="18"/>
      <c r="T28" s="18"/>
      <c r="U28" s="18"/>
      <c r="V28" s="18"/>
      <c r="W28" s="18"/>
      <c r="X28" s="18"/>
      <c r="Y28" s="18"/>
      <c r="Z28" s="18"/>
      <c r="AA28" s="18"/>
      <c r="AB28" s="18"/>
      <c r="AC28" s="18"/>
      <c r="AD28" s="28"/>
      <c r="AE28" s="18"/>
      <c r="AF28" s="27"/>
      <c r="AG28" s="18"/>
      <c r="AH28" s="18"/>
      <c r="AI28" s="18"/>
      <c r="AJ28" s="18"/>
      <c r="AK28" s="18"/>
      <c r="AL28" s="18"/>
      <c r="AM28" s="18"/>
      <c r="AN28" s="18"/>
      <c r="AO28" s="28"/>
      <c r="AP28" s="18"/>
      <c r="AQ28" s="18"/>
      <c r="AR28" s="18"/>
      <c r="AS28" s="18"/>
      <c r="AT28" s="18"/>
      <c r="AU28" s="18"/>
      <c r="AV28" s="18"/>
      <c r="AW28" s="18"/>
      <c r="AX28" s="18"/>
    </row>
    <row r="29" spans="1:50" x14ac:dyDescent="0.3">
      <c r="A29" s="18"/>
      <c r="B29" s="27"/>
      <c r="C29" s="18"/>
      <c r="D29" s="18"/>
      <c r="E29" s="18"/>
      <c r="F29" s="18"/>
      <c r="G29" s="18"/>
      <c r="H29" s="18"/>
      <c r="I29" s="18"/>
      <c r="J29" s="18"/>
      <c r="K29" s="18"/>
      <c r="L29" s="18"/>
      <c r="M29" s="18"/>
      <c r="N29" s="18"/>
      <c r="O29" s="28"/>
      <c r="P29" s="18"/>
      <c r="Q29" s="27"/>
      <c r="R29" s="18"/>
      <c r="S29" s="18"/>
      <c r="T29" s="18"/>
      <c r="U29" s="18"/>
      <c r="V29" s="18"/>
      <c r="W29" s="18"/>
      <c r="X29" s="18"/>
      <c r="Y29" s="18"/>
      <c r="Z29" s="18"/>
      <c r="AA29" s="18"/>
      <c r="AB29" s="18"/>
      <c r="AC29" s="18"/>
      <c r="AD29" s="28"/>
      <c r="AE29" s="18"/>
      <c r="AF29" s="27"/>
      <c r="AG29" s="18"/>
      <c r="AH29" s="18"/>
      <c r="AI29" s="18"/>
      <c r="AJ29" s="18"/>
      <c r="AK29" s="18"/>
      <c r="AL29" s="18"/>
      <c r="AM29" s="18"/>
      <c r="AN29" s="18"/>
      <c r="AO29" s="28"/>
      <c r="AP29" s="18"/>
      <c r="AQ29" s="18"/>
      <c r="AR29" s="18"/>
      <c r="AS29" s="18"/>
      <c r="AT29" s="18"/>
      <c r="AU29" s="18"/>
      <c r="AV29" s="18"/>
      <c r="AW29" s="18"/>
      <c r="AX29" s="18"/>
    </row>
    <row r="30" spans="1:50" x14ac:dyDescent="0.3">
      <c r="A30" s="18"/>
      <c r="B30" s="27"/>
      <c r="C30" s="18"/>
      <c r="D30" s="18"/>
      <c r="E30" s="18"/>
      <c r="F30" s="18"/>
      <c r="G30" s="18"/>
      <c r="H30" s="18"/>
      <c r="I30" s="18"/>
      <c r="J30" s="18"/>
      <c r="K30" s="18"/>
      <c r="L30" s="18"/>
      <c r="M30" s="18"/>
      <c r="N30" s="18"/>
      <c r="O30" s="28"/>
      <c r="P30" s="18"/>
      <c r="Q30" s="27"/>
      <c r="R30" s="18"/>
      <c r="S30" s="18"/>
      <c r="T30" s="18"/>
      <c r="U30" s="18"/>
      <c r="V30" s="18"/>
      <c r="W30" s="18"/>
      <c r="X30" s="18"/>
      <c r="Y30" s="18"/>
      <c r="Z30" s="18"/>
      <c r="AA30" s="18"/>
      <c r="AB30" s="18"/>
      <c r="AC30" s="18"/>
      <c r="AD30" s="28"/>
      <c r="AE30" s="18"/>
      <c r="AF30" s="27"/>
      <c r="AG30" s="18"/>
      <c r="AH30" s="18"/>
      <c r="AI30" s="18"/>
      <c r="AJ30" s="18"/>
      <c r="AK30" s="18"/>
      <c r="AL30" s="18"/>
      <c r="AM30" s="18"/>
      <c r="AN30" s="18"/>
      <c r="AO30" s="28"/>
      <c r="AP30" s="18"/>
      <c r="AQ30" s="18"/>
      <c r="AR30" s="18"/>
      <c r="AS30" s="18"/>
      <c r="AT30" s="18"/>
      <c r="AU30" s="18"/>
      <c r="AV30" s="18"/>
      <c r="AW30" s="18"/>
      <c r="AX30" s="18"/>
    </row>
    <row r="31" spans="1:50" x14ac:dyDescent="0.3">
      <c r="A31" s="18"/>
      <c r="B31" s="27"/>
      <c r="C31" s="18"/>
      <c r="D31" s="18"/>
      <c r="E31" s="18"/>
      <c r="F31" s="18"/>
      <c r="G31" s="18"/>
      <c r="H31" s="18"/>
      <c r="I31" s="18"/>
      <c r="J31" s="18"/>
      <c r="K31" s="18"/>
      <c r="L31" s="18"/>
      <c r="M31" s="18"/>
      <c r="N31" s="18"/>
      <c r="O31" s="28"/>
      <c r="P31" s="18"/>
      <c r="Q31" s="27"/>
      <c r="R31" s="18"/>
      <c r="S31" s="18"/>
      <c r="T31" s="18"/>
      <c r="U31" s="18"/>
      <c r="V31" s="18"/>
      <c r="W31" s="18"/>
      <c r="X31" s="18"/>
      <c r="Y31" s="18"/>
      <c r="Z31" s="18"/>
      <c r="AA31" s="18"/>
      <c r="AB31" s="18"/>
      <c r="AC31" s="18"/>
      <c r="AD31" s="28"/>
      <c r="AE31" s="18"/>
      <c r="AF31" s="27"/>
      <c r="AG31" s="18"/>
      <c r="AH31" s="18"/>
      <c r="AI31" s="18"/>
      <c r="AJ31" s="18"/>
      <c r="AK31" s="18"/>
      <c r="AL31" s="18"/>
      <c r="AM31" s="18"/>
      <c r="AN31" s="18"/>
      <c r="AO31" s="28"/>
      <c r="AP31" s="18"/>
      <c r="AQ31" s="18"/>
      <c r="AR31" s="18"/>
      <c r="AS31" s="18"/>
      <c r="AT31" s="18"/>
      <c r="AU31" s="18"/>
      <c r="AV31" s="18"/>
      <c r="AW31" s="18"/>
      <c r="AX31" s="18"/>
    </row>
    <row r="32" spans="1:50" x14ac:dyDescent="0.3">
      <c r="A32" s="18"/>
      <c r="B32" s="27"/>
      <c r="C32" s="18"/>
      <c r="D32" s="18"/>
      <c r="E32" s="18"/>
      <c r="F32" s="18"/>
      <c r="G32" s="18"/>
      <c r="H32" s="18"/>
      <c r="I32" s="18"/>
      <c r="J32" s="18"/>
      <c r="K32" s="18"/>
      <c r="L32" s="18"/>
      <c r="M32" s="18"/>
      <c r="N32" s="18"/>
      <c r="O32" s="28"/>
      <c r="P32" s="18"/>
      <c r="Q32" s="27"/>
      <c r="R32" s="18"/>
      <c r="S32" s="18"/>
      <c r="T32" s="18"/>
      <c r="U32" s="18"/>
      <c r="V32" s="18"/>
      <c r="W32" s="18"/>
      <c r="X32" s="18"/>
      <c r="Y32" s="18"/>
      <c r="Z32" s="18"/>
      <c r="AA32" s="18"/>
      <c r="AB32" s="18"/>
      <c r="AC32" s="18"/>
      <c r="AD32" s="28"/>
      <c r="AE32" s="18"/>
      <c r="AF32" s="27"/>
      <c r="AG32" s="18"/>
      <c r="AH32" s="18"/>
      <c r="AI32" s="18"/>
      <c r="AJ32" s="18"/>
      <c r="AK32" s="18"/>
      <c r="AL32" s="18"/>
      <c r="AM32" s="18"/>
      <c r="AN32" s="18"/>
      <c r="AO32" s="28"/>
      <c r="AP32" s="18"/>
      <c r="AQ32" s="18"/>
      <c r="AR32" s="18"/>
      <c r="AS32" s="18"/>
      <c r="AT32" s="18"/>
      <c r="AU32" s="18"/>
      <c r="AV32" s="18"/>
      <c r="AW32" s="18"/>
      <c r="AX32" s="18"/>
    </row>
    <row r="33" spans="1:50" x14ac:dyDescent="0.3">
      <c r="A33" s="18"/>
      <c r="B33" s="27"/>
      <c r="C33" s="18"/>
      <c r="D33" s="18"/>
      <c r="E33" s="18"/>
      <c r="F33" s="18"/>
      <c r="G33" s="18"/>
      <c r="H33" s="18"/>
      <c r="I33" s="18"/>
      <c r="J33" s="18"/>
      <c r="K33" s="18"/>
      <c r="L33" s="18"/>
      <c r="M33" s="18"/>
      <c r="N33" s="18"/>
      <c r="O33" s="28"/>
      <c r="P33" s="18"/>
      <c r="Q33" s="27"/>
      <c r="R33" s="18"/>
      <c r="S33" s="18"/>
      <c r="T33" s="18"/>
      <c r="U33" s="18"/>
      <c r="V33" s="18"/>
      <c r="W33" s="18"/>
      <c r="X33" s="18"/>
      <c r="Y33" s="18"/>
      <c r="Z33" s="18"/>
      <c r="AA33" s="18"/>
      <c r="AB33" s="18"/>
      <c r="AC33" s="18"/>
      <c r="AD33" s="28"/>
      <c r="AE33" s="18"/>
      <c r="AF33" s="27"/>
      <c r="AG33" s="18"/>
      <c r="AH33" s="18"/>
      <c r="AI33" s="18"/>
      <c r="AJ33" s="18"/>
      <c r="AK33" s="18"/>
      <c r="AL33" s="18"/>
      <c r="AM33" s="18"/>
      <c r="AN33" s="18"/>
      <c r="AO33" s="28"/>
      <c r="AP33" s="18"/>
      <c r="AQ33" s="18"/>
      <c r="AR33" s="18"/>
      <c r="AS33" s="18"/>
      <c r="AT33" s="18"/>
      <c r="AU33" s="18"/>
      <c r="AV33" s="18"/>
      <c r="AW33" s="18"/>
      <c r="AX33" s="18"/>
    </row>
    <row r="34" spans="1:50" x14ac:dyDescent="0.3">
      <c r="A34" s="18"/>
      <c r="B34" s="27"/>
      <c r="C34" s="18"/>
      <c r="D34" s="18"/>
      <c r="E34" s="18"/>
      <c r="F34" s="18"/>
      <c r="G34" s="18"/>
      <c r="H34" s="18"/>
      <c r="I34" s="18"/>
      <c r="J34" s="18"/>
      <c r="K34" s="18"/>
      <c r="L34" s="18"/>
      <c r="M34" s="18"/>
      <c r="N34" s="18"/>
      <c r="O34" s="28"/>
      <c r="P34" s="18"/>
      <c r="Q34" s="27"/>
      <c r="R34" s="18"/>
      <c r="S34" s="18"/>
      <c r="T34" s="18"/>
      <c r="U34" s="18"/>
      <c r="V34" s="18"/>
      <c r="W34" s="18"/>
      <c r="X34" s="18"/>
      <c r="Y34" s="18"/>
      <c r="Z34" s="18"/>
      <c r="AA34" s="18"/>
      <c r="AB34" s="18"/>
      <c r="AC34" s="18"/>
      <c r="AD34" s="28"/>
      <c r="AE34" s="18"/>
      <c r="AF34" s="27"/>
      <c r="AG34" s="18"/>
      <c r="AH34" s="18"/>
      <c r="AI34" s="18"/>
      <c r="AJ34" s="18"/>
      <c r="AK34" s="18"/>
      <c r="AL34" s="18"/>
      <c r="AM34" s="18"/>
      <c r="AN34" s="18"/>
      <c r="AO34" s="28"/>
      <c r="AP34" s="18"/>
      <c r="AQ34" s="18"/>
      <c r="AR34" s="18"/>
      <c r="AS34" s="18"/>
      <c r="AT34" s="18"/>
      <c r="AU34" s="18"/>
      <c r="AV34" s="18"/>
      <c r="AW34" s="18"/>
      <c r="AX34" s="18"/>
    </row>
    <row r="35" spans="1:50" x14ac:dyDescent="0.3">
      <c r="A35" s="18"/>
      <c r="B35" s="27"/>
      <c r="C35" s="18"/>
      <c r="D35" s="18"/>
      <c r="E35" s="18"/>
      <c r="F35" s="18"/>
      <c r="G35" s="18"/>
      <c r="H35" s="18"/>
      <c r="I35" s="18"/>
      <c r="J35" s="18"/>
      <c r="K35" s="18"/>
      <c r="L35" s="18"/>
      <c r="M35" s="18"/>
      <c r="N35" s="18"/>
      <c r="O35" s="28"/>
      <c r="P35" s="18"/>
      <c r="Q35" s="27"/>
      <c r="R35" s="18"/>
      <c r="S35" s="18"/>
      <c r="T35" s="18"/>
      <c r="U35" s="18"/>
      <c r="V35" s="18"/>
      <c r="W35" s="18"/>
      <c r="X35" s="18"/>
      <c r="Y35" s="18"/>
      <c r="Z35" s="18"/>
      <c r="AA35" s="18"/>
      <c r="AB35" s="18"/>
      <c r="AC35" s="18"/>
      <c r="AD35" s="28"/>
      <c r="AE35" s="18"/>
      <c r="AF35" s="27"/>
      <c r="AG35" s="18"/>
      <c r="AH35" s="18"/>
      <c r="AI35" s="18"/>
      <c r="AJ35" s="18"/>
      <c r="AK35" s="18"/>
      <c r="AL35" s="18"/>
      <c r="AM35" s="18"/>
      <c r="AN35" s="18"/>
      <c r="AO35" s="28"/>
      <c r="AP35" s="18"/>
      <c r="AQ35" s="18"/>
      <c r="AR35" s="18"/>
      <c r="AS35" s="18"/>
      <c r="AT35" s="18"/>
      <c r="AU35" s="18"/>
      <c r="AV35" s="18"/>
      <c r="AW35" s="18"/>
      <c r="AX35" s="18"/>
    </row>
    <row r="36" spans="1:50" x14ac:dyDescent="0.3">
      <c r="A36" s="18"/>
      <c r="B36" s="27"/>
      <c r="C36" s="18"/>
      <c r="D36" s="18"/>
      <c r="E36" s="18"/>
      <c r="F36" s="18"/>
      <c r="G36" s="18"/>
      <c r="H36" s="18"/>
      <c r="I36" s="18"/>
      <c r="J36" s="18"/>
      <c r="K36" s="18"/>
      <c r="L36" s="18"/>
      <c r="M36" s="18"/>
      <c r="N36" s="18"/>
      <c r="O36" s="28"/>
      <c r="P36" s="18"/>
      <c r="Q36" s="27"/>
      <c r="R36" s="18"/>
      <c r="S36" s="18"/>
      <c r="T36" s="18"/>
      <c r="U36" s="18"/>
      <c r="V36" s="18"/>
      <c r="W36" s="18"/>
      <c r="X36" s="18"/>
      <c r="Y36" s="18"/>
      <c r="Z36" s="18"/>
      <c r="AA36" s="18"/>
      <c r="AB36" s="18"/>
      <c r="AC36" s="18"/>
      <c r="AD36" s="28"/>
      <c r="AE36" s="18"/>
      <c r="AF36" s="27"/>
      <c r="AG36" s="18"/>
      <c r="AH36" s="18"/>
      <c r="AI36" s="18"/>
      <c r="AJ36" s="18"/>
      <c r="AK36" s="18"/>
      <c r="AL36" s="18"/>
      <c r="AM36" s="18"/>
      <c r="AN36" s="18"/>
      <c r="AO36" s="28"/>
      <c r="AP36" s="18"/>
      <c r="AQ36" s="18"/>
      <c r="AR36" s="18"/>
      <c r="AS36" s="18"/>
      <c r="AT36" s="18"/>
      <c r="AU36" s="18"/>
      <c r="AV36" s="18"/>
      <c r="AW36" s="18"/>
      <c r="AX36" s="18"/>
    </row>
    <row r="37" spans="1:50" x14ac:dyDescent="0.3">
      <c r="A37" s="18"/>
      <c r="B37" s="27"/>
      <c r="C37" s="18"/>
      <c r="D37" s="18"/>
      <c r="E37" s="18"/>
      <c r="F37" s="18"/>
      <c r="G37" s="18"/>
      <c r="H37" s="18"/>
      <c r="I37" s="18"/>
      <c r="J37" s="18"/>
      <c r="K37" s="18"/>
      <c r="L37" s="18"/>
      <c r="M37" s="18"/>
      <c r="N37" s="18"/>
      <c r="O37" s="28"/>
      <c r="P37" s="18"/>
      <c r="Q37" s="27"/>
      <c r="R37" s="18"/>
      <c r="S37" s="18"/>
      <c r="T37" s="18"/>
      <c r="U37" s="18"/>
      <c r="V37" s="18"/>
      <c r="W37" s="18"/>
      <c r="X37" s="18"/>
      <c r="Y37" s="18"/>
      <c r="Z37" s="18"/>
      <c r="AA37" s="18"/>
      <c r="AB37" s="18"/>
      <c r="AC37" s="18"/>
      <c r="AD37" s="28"/>
      <c r="AE37" s="18"/>
      <c r="AF37" s="27"/>
      <c r="AG37" s="18"/>
      <c r="AH37" s="18"/>
      <c r="AI37" s="18"/>
      <c r="AJ37" s="18"/>
      <c r="AK37" s="18"/>
      <c r="AL37" s="18"/>
      <c r="AM37" s="18"/>
      <c r="AN37" s="18"/>
      <c r="AO37" s="28"/>
      <c r="AP37" s="18"/>
      <c r="AQ37" s="18"/>
      <c r="AR37" s="18"/>
      <c r="AS37" s="18"/>
      <c r="AT37" s="18"/>
      <c r="AU37" s="18"/>
      <c r="AV37" s="18"/>
      <c r="AW37" s="18"/>
      <c r="AX37" s="18"/>
    </row>
    <row r="38" spans="1:50" x14ac:dyDescent="0.3">
      <c r="A38" s="18"/>
      <c r="B38" s="27"/>
      <c r="C38" s="18"/>
      <c r="D38" s="18"/>
      <c r="E38" s="18"/>
      <c r="F38" s="18"/>
      <c r="G38" s="18"/>
      <c r="H38" s="18"/>
      <c r="I38" s="18"/>
      <c r="J38" s="18"/>
      <c r="K38" s="18"/>
      <c r="L38" s="18"/>
      <c r="M38" s="18"/>
      <c r="N38" s="18"/>
      <c r="O38" s="28"/>
      <c r="P38" s="18"/>
      <c r="Q38" s="27"/>
      <c r="R38" s="18"/>
      <c r="S38" s="18"/>
      <c r="T38" s="18"/>
      <c r="U38" s="18"/>
      <c r="V38" s="18"/>
      <c r="W38" s="18"/>
      <c r="X38" s="18"/>
      <c r="Y38" s="18"/>
      <c r="Z38" s="18"/>
      <c r="AA38" s="18"/>
      <c r="AB38" s="18"/>
      <c r="AC38" s="18"/>
      <c r="AD38" s="28"/>
      <c r="AE38" s="18"/>
      <c r="AF38" s="27"/>
      <c r="AG38" s="18"/>
      <c r="AH38" s="18"/>
      <c r="AI38" s="18"/>
      <c r="AJ38" s="18"/>
      <c r="AK38" s="18"/>
      <c r="AL38" s="18"/>
      <c r="AM38" s="18"/>
      <c r="AN38" s="18"/>
      <c r="AO38" s="28"/>
      <c r="AP38" s="18"/>
      <c r="AQ38" s="18"/>
      <c r="AR38" s="18"/>
      <c r="AS38" s="18"/>
      <c r="AT38" s="18"/>
      <c r="AU38" s="18"/>
      <c r="AV38" s="18"/>
      <c r="AW38" s="18"/>
      <c r="AX38" s="18"/>
    </row>
    <row r="39" spans="1:50" x14ac:dyDescent="0.3">
      <c r="A39" s="18"/>
      <c r="B39" s="27"/>
      <c r="C39" s="18"/>
      <c r="D39" s="18"/>
      <c r="E39" s="18"/>
      <c r="F39" s="18"/>
      <c r="G39" s="18"/>
      <c r="H39" s="18"/>
      <c r="I39" s="18"/>
      <c r="J39" s="18"/>
      <c r="K39" s="18"/>
      <c r="L39" s="18"/>
      <c r="M39" s="18"/>
      <c r="N39" s="18"/>
      <c r="O39" s="28"/>
      <c r="P39" s="18"/>
      <c r="Q39" s="27"/>
      <c r="R39" s="18"/>
      <c r="S39" s="18"/>
      <c r="T39" s="18"/>
      <c r="U39" s="18"/>
      <c r="V39" s="18"/>
      <c r="W39" s="18"/>
      <c r="X39" s="18"/>
      <c r="Y39" s="18"/>
      <c r="Z39" s="18"/>
      <c r="AA39" s="18"/>
      <c r="AB39" s="18"/>
      <c r="AC39" s="18"/>
      <c r="AD39" s="28"/>
      <c r="AE39" s="18"/>
      <c r="AF39" s="27"/>
      <c r="AG39" s="18"/>
      <c r="AH39" s="18"/>
      <c r="AI39" s="18"/>
      <c r="AJ39" s="18"/>
      <c r="AK39" s="18"/>
      <c r="AL39" s="18"/>
      <c r="AM39" s="18"/>
      <c r="AN39" s="18"/>
      <c r="AO39" s="28"/>
      <c r="AP39" s="18"/>
      <c r="AQ39" s="18"/>
      <c r="AR39" s="18"/>
      <c r="AS39" s="18"/>
      <c r="AT39" s="18"/>
      <c r="AU39" s="18"/>
      <c r="AV39" s="18"/>
      <c r="AW39" s="18"/>
      <c r="AX39" s="18"/>
    </row>
    <row r="40" spans="1:50" x14ac:dyDescent="0.3">
      <c r="A40" s="18"/>
      <c r="B40" s="27"/>
      <c r="C40" s="18"/>
      <c r="D40" s="18"/>
      <c r="E40" s="18"/>
      <c r="F40" s="18"/>
      <c r="G40" s="18"/>
      <c r="H40" s="18"/>
      <c r="I40" s="18"/>
      <c r="J40" s="18"/>
      <c r="K40" s="18"/>
      <c r="L40" s="18"/>
      <c r="M40" s="18"/>
      <c r="N40" s="18"/>
      <c r="O40" s="28"/>
      <c r="P40" s="18"/>
      <c r="Q40" s="27"/>
      <c r="R40" s="18"/>
      <c r="S40" s="18"/>
      <c r="T40" s="18"/>
      <c r="U40" s="18"/>
      <c r="V40" s="18"/>
      <c r="W40" s="18"/>
      <c r="X40" s="18"/>
      <c r="Y40" s="18"/>
      <c r="Z40" s="18"/>
      <c r="AA40" s="18"/>
      <c r="AB40" s="18"/>
      <c r="AC40" s="18"/>
      <c r="AD40" s="28"/>
      <c r="AE40" s="18"/>
      <c r="AF40" s="27"/>
      <c r="AG40" s="18"/>
      <c r="AH40" s="18"/>
      <c r="AI40" s="18"/>
      <c r="AJ40" s="18"/>
      <c r="AK40" s="18"/>
      <c r="AL40" s="18"/>
      <c r="AM40" s="18"/>
      <c r="AN40" s="18"/>
      <c r="AO40" s="28"/>
      <c r="AP40" s="18"/>
      <c r="AQ40" s="18"/>
      <c r="AR40" s="18"/>
      <c r="AS40" s="18"/>
      <c r="AT40" s="18"/>
      <c r="AU40" s="18"/>
      <c r="AV40" s="18"/>
      <c r="AW40" s="18"/>
      <c r="AX40" s="18"/>
    </row>
    <row r="41" spans="1:50" x14ac:dyDescent="0.3">
      <c r="A41" s="18"/>
      <c r="B41" s="27"/>
      <c r="C41" s="18"/>
      <c r="D41" s="18"/>
      <c r="E41" s="18"/>
      <c r="F41" s="18"/>
      <c r="G41" s="18"/>
      <c r="H41" s="18"/>
      <c r="I41" s="18"/>
      <c r="J41" s="18"/>
      <c r="K41" s="18"/>
      <c r="L41" s="18"/>
      <c r="M41" s="18"/>
      <c r="N41" s="18"/>
      <c r="O41" s="28"/>
      <c r="P41" s="18"/>
      <c r="Q41" s="27"/>
      <c r="R41" s="18"/>
      <c r="S41" s="18"/>
      <c r="T41" s="18"/>
      <c r="U41" s="18"/>
      <c r="V41" s="18"/>
      <c r="W41" s="18"/>
      <c r="X41" s="18"/>
      <c r="Y41" s="18"/>
      <c r="Z41" s="18"/>
      <c r="AA41" s="18"/>
      <c r="AB41" s="18"/>
      <c r="AC41" s="18"/>
      <c r="AD41" s="28"/>
      <c r="AE41" s="18"/>
      <c r="AF41" s="27"/>
      <c r="AG41" s="18"/>
      <c r="AH41" s="18"/>
      <c r="AI41" s="18"/>
      <c r="AJ41" s="18"/>
      <c r="AK41" s="18"/>
      <c r="AL41" s="18"/>
      <c r="AM41" s="18"/>
      <c r="AN41" s="18"/>
      <c r="AO41" s="28"/>
      <c r="AP41" s="18"/>
      <c r="AQ41" s="18"/>
      <c r="AR41" s="18"/>
      <c r="AS41" s="18"/>
      <c r="AT41" s="18"/>
      <c r="AU41" s="18"/>
      <c r="AV41" s="18"/>
      <c r="AW41" s="18"/>
      <c r="AX41" s="18"/>
    </row>
    <row r="42" spans="1:50" x14ac:dyDescent="0.3">
      <c r="A42" s="18"/>
      <c r="B42" s="27"/>
      <c r="C42" s="18"/>
      <c r="D42" s="18"/>
      <c r="E42" s="18"/>
      <c r="F42" s="18"/>
      <c r="G42" s="18"/>
      <c r="H42" s="18"/>
      <c r="I42" s="18"/>
      <c r="J42" s="18"/>
      <c r="K42" s="18"/>
      <c r="L42" s="18"/>
      <c r="M42" s="18"/>
      <c r="N42" s="18"/>
      <c r="O42" s="28"/>
      <c r="P42" s="18"/>
      <c r="Q42" s="27"/>
      <c r="R42" s="18"/>
      <c r="S42" s="18"/>
      <c r="T42" s="18"/>
      <c r="U42" s="18"/>
      <c r="V42" s="18"/>
      <c r="W42" s="18"/>
      <c r="X42" s="18"/>
      <c r="Y42" s="18"/>
      <c r="Z42" s="18"/>
      <c r="AA42" s="18"/>
      <c r="AB42" s="18"/>
      <c r="AC42" s="18"/>
      <c r="AD42" s="28"/>
      <c r="AE42" s="18"/>
      <c r="AF42" s="27"/>
      <c r="AG42" s="18"/>
      <c r="AH42" s="18"/>
      <c r="AI42" s="18"/>
      <c r="AJ42" s="18"/>
      <c r="AK42" s="18"/>
      <c r="AL42" s="18"/>
      <c r="AM42" s="18"/>
      <c r="AN42" s="18"/>
      <c r="AO42" s="28"/>
      <c r="AP42" s="18"/>
      <c r="AQ42" s="18"/>
      <c r="AR42" s="18"/>
      <c r="AS42" s="18"/>
      <c r="AT42" s="18"/>
      <c r="AU42" s="18"/>
      <c r="AV42" s="18"/>
      <c r="AW42" s="18"/>
      <c r="AX42" s="18"/>
    </row>
    <row r="43" spans="1:50" x14ac:dyDescent="0.3">
      <c r="A43" s="18"/>
      <c r="B43" s="27"/>
      <c r="C43" s="18"/>
      <c r="D43" s="18"/>
      <c r="E43" s="18"/>
      <c r="F43" s="18"/>
      <c r="G43" s="18"/>
      <c r="H43" s="18"/>
      <c r="I43" s="18"/>
      <c r="J43" s="18"/>
      <c r="K43" s="18"/>
      <c r="L43" s="18"/>
      <c r="M43" s="18"/>
      <c r="N43" s="18"/>
      <c r="O43" s="28"/>
      <c r="P43" s="18"/>
      <c r="Q43" s="27"/>
      <c r="R43" s="18"/>
      <c r="S43" s="18"/>
      <c r="T43" s="18"/>
      <c r="U43" s="18"/>
      <c r="V43" s="18"/>
      <c r="W43" s="18"/>
      <c r="X43" s="18"/>
      <c r="Y43" s="18"/>
      <c r="Z43" s="18"/>
      <c r="AA43" s="18"/>
      <c r="AB43" s="18"/>
      <c r="AC43" s="18"/>
      <c r="AD43" s="28"/>
      <c r="AE43" s="18"/>
      <c r="AF43" s="27"/>
      <c r="AG43" s="18"/>
      <c r="AH43" s="18"/>
      <c r="AI43" s="18"/>
      <c r="AJ43" s="18"/>
      <c r="AK43" s="18"/>
      <c r="AL43" s="18"/>
      <c r="AM43" s="18"/>
      <c r="AN43" s="18"/>
      <c r="AO43" s="28"/>
      <c r="AP43" s="18"/>
      <c r="AQ43" s="18"/>
      <c r="AR43" s="18"/>
      <c r="AS43" s="18"/>
      <c r="AT43" s="18"/>
      <c r="AU43" s="18"/>
      <c r="AV43" s="18"/>
      <c r="AW43" s="18"/>
      <c r="AX43" s="18"/>
    </row>
    <row r="44" spans="1:50" x14ac:dyDescent="0.3">
      <c r="A44" s="18"/>
      <c r="B44" s="27"/>
      <c r="C44" s="18"/>
      <c r="D44" s="18"/>
      <c r="E44" s="18"/>
      <c r="F44" s="18"/>
      <c r="G44" s="18"/>
      <c r="H44" s="18"/>
      <c r="I44" s="18"/>
      <c r="J44" s="18"/>
      <c r="K44" s="18"/>
      <c r="L44" s="18"/>
      <c r="M44" s="18"/>
      <c r="N44" s="18"/>
      <c r="O44" s="28"/>
      <c r="P44" s="18"/>
      <c r="Q44" s="27"/>
      <c r="R44" s="18"/>
      <c r="S44" s="18"/>
      <c r="T44" s="18"/>
      <c r="U44" s="18"/>
      <c r="V44" s="18"/>
      <c r="W44" s="18"/>
      <c r="X44" s="18"/>
      <c r="Y44" s="18"/>
      <c r="Z44" s="18"/>
      <c r="AA44" s="18"/>
      <c r="AB44" s="18"/>
      <c r="AC44" s="18"/>
      <c r="AD44" s="28"/>
      <c r="AE44" s="18"/>
      <c r="AF44" s="27"/>
      <c r="AG44" s="18"/>
      <c r="AH44" s="18"/>
      <c r="AI44" s="18"/>
      <c r="AJ44" s="18"/>
      <c r="AK44" s="18"/>
      <c r="AL44" s="18"/>
      <c r="AM44" s="18"/>
      <c r="AN44" s="18"/>
      <c r="AO44" s="28"/>
      <c r="AP44" s="18"/>
      <c r="AQ44" s="18"/>
      <c r="AR44" s="18"/>
      <c r="AS44" s="18"/>
      <c r="AT44" s="18"/>
      <c r="AU44" s="18"/>
      <c r="AV44" s="18"/>
      <c r="AW44" s="18"/>
      <c r="AX44" s="18"/>
    </row>
    <row r="45" spans="1:50" x14ac:dyDescent="0.3">
      <c r="A45" s="18"/>
      <c r="B45" s="27"/>
      <c r="C45" s="18"/>
      <c r="D45" s="18"/>
      <c r="E45" s="18"/>
      <c r="F45" s="18"/>
      <c r="G45" s="18"/>
      <c r="H45" s="18"/>
      <c r="I45" s="18"/>
      <c r="J45" s="18"/>
      <c r="K45" s="18"/>
      <c r="L45" s="18"/>
      <c r="M45" s="18"/>
      <c r="N45" s="18"/>
      <c r="O45" s="28"/>
      <c r="P45" s="18"/>
      <c r="Q45" s="27"/>
      <c r="R45" s="18"/>
      <c r="S45" s="18"/>
      <c r="T45" s="18"/>
      <c r="U45" s="18"/>
      <c r="V45" s="18"/>
      <c r="W45" s="18"/>
      <c r="X45" s="18"/>
      <c r="Y45" s="18"/>
      <c r="Z45" s="18"/>
      <c r="AA45" s="18"/>
      <c r="AB45" s="18"/>
      <c r="AC45" s="18"/>
      <c r="AD45" s="28"/>
      <c r="AE45" s="18"/>
      <c r="AF45" s="27"/>
      <c r="AG45" s="18"/>
      <c r="AH45" s="18"/>
      <c r="AI45" s="18"/>
      <c r="AJ45" s="18"/>
      <c r="AK45" s="18"/>
      <c r="AL45" s="18"/>
      <c r="AM45" s="18"/>
      <c r="AN45" s="18"/>
      <c r="AO45" s="28"/>
      <c r="AP45" s="18"/>
      <c r="AQ45" s="18"/>
      <c r="AR45" s="18"/>
      <c r="AS45" s="18"/>
      <c r="AT45" s="18"/>
      <c r="AU45" s="18"/>
      <c r="AV45" s="18"/>
      <c r="AW45" s="18"/>
      <c r="AX45" s="18"/>
    </row>
    <row r="46" spans="1:50" x14ac:dyDescent="0.3">
      <c r="A46" s="18"/>
      <c r="B46" s="27"/>
      <c r="C46" s="18"/>
      <c r="D46" s="18"/>
      <c r="E46" s="18"/>
      <c r="F46" s="18"/>
      <c r="G46" s="18"/>
      <c r="H46" s="18"/>
      <c r="I46" s="18"/>
      <c r="J46" s="18"/>
      <c r="K46" s="18"/>
      <c r="L46" s="18"/>
      <c r="M46" s="18"/>
      <c r="N46" s="18"/>
      <c r="O46" s="28"/>
      <c r="P46" s="18"/>
      <c r="Q46" s="27"/>
      <c r="R46" s="18"/>
      <c r="S46" s="18"/>
      <c r="T46" s="18"/>
      <c r="U46" s="18"/>
      <c r="V46" s="18"/>
      <c r="W46" s="18"/>
      <c r="X46" s="18"/>
      <c r="Y46" s="18"/>
      <c r="Z46" s="18"/>
      <c r="AA46" s="18"/>
      <c r="AB46" s="18"/>
      <c r="AC46" s="18"/>
      <c r="AD46" s="28"/>
      <c r="AE46" s="18"/>
      <c r="AF46" s="27"/>
      <c r="AG46" s="18"/>
      <c r="AH46" s="18"/>
      <c r="AI46" s="18"/>
      <c r="AJ46" s="18"/>
      <c r="AK46" s="18"/>
      <c r="AL46" s="18"/>
      <c r="AM46" s="18"/>
      <c r="AN46" s="18"/>
      <c r="AO46" s="28"/>
      <c r="AP46" s="18"/>
      <c r="AQ46" s="18"/>
      <c r="AR46" s="18"/>
      <c r="AS46" s="18"/>
      <c r="AT46" s="18"/>
      <c r="AU46" s="18"/>
      <c r="AV46" s="18"/>
      <c r="AW46" s="18"/>
      <c r="AX46" s="18"/>
    </row>
    <row r="47" spans="1:50" x14ac:dyDescent="0.3">
      <c r="A47" s="18"/>
      <c r="B47" s="27"/>
      <c r="C47" s="18"/>
      <c r="D47" s="18"/>
      <c r="E47" s="18"/>
      <c r="F47" s="18"/>
      <c r="G47" s="18"/>
      <c r="H47" s="18"/>
      <c r="I47" s="18"/>
      <c r="J47" s="18"/>
      <c r="K47" s="18"/>
      <c r="L47" s="18"/>
      <c r="M47" s="18"/>
      <c r="N47" s="18"/>
      <c r="O47" s="28"/>
      <c r="P47" s="18"/>
      <c r="Q47" s="27"/>
      <c r="R47" s="18"/>
      <c r="S47" s="18"/>
      <c r="T47" s="18"/>
      <c r="U47" s="18"/>
      <c r="V47" s="18"/>
      <c r="W47" s="18"/>
      <c r="X47" s="18"/>
      <c r="Y47" s="18"/>
      <c r="Z47" s="18"/>
      <c r="AA47" s="18"/>
      <c r="AB47" s="18"/>
      <c r="AC47" s="18"/>
      <c r="AD47" s="28"/>
      <c r="AE47" s="18"/>
      <c r="AF47" s="27"/>
      <c r="AG47" s="18"/>
      <c r="AH47" s="18"/>
      <c r="AI47" s="18"/>
      <c r="AJ47" s="18"/>
      <c r="AK47" s="18"/>
      <c r="AL47" s="18"/>
      <c r="AM47" s="18"/>
      <c r="AN47" s="18"/>
      <c r="AO47" s="28"/>
      <c r="AP47" s="18"/>
      <c r="AQ47" s="18"/>
      <c r="AR47" s="18"/>
      <c r="AS47" s="18"/>
      <c r="AT47" s="18"/>
      <c r="AU47" s="18"/>
      <c r="AV47" s="18"/>
      <c r="AW47" s="18"/>
      <c r="AX47" s="18"/>
    </row>
    <row r="48" spans="1:50" x14ac:dyDescent="0.3">
      <c r="A48" s="18"/>
      <c r="B48" s="27"/>
      <c r="C48" s="18"/>
      <c r="D48" s="18"/>
      <c r="E48" s="18"/>
      <c r="F48" s="18"/>
      <c r="G48" s="18"/>
      <c r="H48" s="18"/>
      <c r="I48" s="18"/>
      <c r="J48" s="18"/>
      <c r="K48" s="18"/>
      <c r="L48" s="18"/>
      <c r="M48" s="18"/>
      <c r="N48" s="18"/>
      <c r="O48" s="28"/>
      <c r="P48" s="18"/>
      <c r="Q48" s="27"/>
      <c r="R48" s="18"/>
      <c r="S48" s="18"/>
      <c r="T48" s="18"/>
      <c r="U48" s="18"/>
      <c r="V48" s="18"/>
      <c r="W48" s="18"/>
      <c r="X48" s="18"/>
      <c r="Y48" s="18"/>
      <c r="Z48" s="18"/>
      <c r="AA48" s="18"/>
      <c r="AB48" s="18"/>
      <c r="AC48" s="18"/>
      <c r="AD48" s="28"/>
      <c r="AE48" s="18"/>
      <c r="AF48" s="27"/>
      <c r="AG48" s="18"/>
      <c r="AH48" s="18"/>
      <c r="AI48" s="18"/>
      <c r="AJ48" s="18"/>
      <c r="AK48" s="18"/>
      <c r="AL48" s="18"/>
      <c r="AM48" s="18"/>
      <c r="AN48" s="18"/>
      <c r="AO48" s="28"/>
      <c r="AP48" s="18"/>
      <c r="AQ48" s="18"/>
      <c r="AR48" s="18"/>
      <c r="AS48" s="18"/>
      <c r="AT48" s="18"/>
      <c r="AU48" s="18"/>
      <c r="AV48" s="18"/>
      <c r="AW48" s="18"/>
      <c r="AX48" s="18"/>
    </row>
    <row r="49" spans="1:50" x14ac:dyDescent="0.3">
      <c r="A49" s="18"/>
      <c r="B49" s="27"/>
      <c r="C49" s="18"/>
      <c r="D49" s="18"/>
      <c r="E49" s="18"/>
      <c r="F49" s="18"/>
      <c r="G49" s="18"/>
      <c r="H49" s="18"/>
      <c r="I49" s="18"/>
      <c r="J49" s="18"/>
      <c r="K49" s="18"/>
      <c r="L49" s="18"/>
      <c r="M49" s="18"/>
      <c r="N49" s="18"/>
      <c r="O49" s="28"/>
      <c r="P49" s="18"/>
      <c r="Q49" s="27"/>
      <c r="R49" s="18"/>
      <c r="S49" s="18"/>
      <c r="T49" s="18"/>
      <c r="U49" s="18"/>
      <c r="V49" s="18"/>
      <c r="W49" s="18"/>
      <c r="X49" s="18"/>
      <c r="Y49" s="18"/>
      <c r="Z49" s="18"/>
      <c r="AA49" s="18"/>
      <c r="AB49" s="18"/>
      <c r="AC49" s="18"/>
      <c r="AD49" s="28"/>
      <c r="AE49" s="18"/>
      <c r="AF49" s="27"/>
      <c r="AG49" s="18"/>
      <c r="AH49" s="18"/>
      <c r="AI49" s="18"/>
      <c r="AJ49" s="18"/>
      <c r="AK49" s="18"/>
      <c r="AL49" s="18"/>
      <c r="AM49" s="18"/>
      <c r="AN49" s="18"/>
      <c r="AO49" s="28"/>
      <c r="AP49" s="18"/>
      <c r="AQ49" s="18"/>
      <c r="AR49" s="18"/>
      <c r="AS49" s="18"/>
      <c r="AT49" s="18"/>
      <c r="AU49" s="18"/>
      <c r="AV49" s="18"/>
      <c r="AW49" s="18"/>
      <c r="AX49" s="18"/>
    </row>
    <row r="50" spans="1:50" x14ac:dyDescent="0.3">
      <c r="A50" s="18"/>
      <c r="B50" s="27"/>
      <c r="C50" s="18"/>
      <c r="D50" s="18"/>
      <c r="E50" s="18"/>
      <c r="F50" s="18"/>
      <c r="G50" s="18"/>
      <c r="H50" s="18"/>
      <c r="I50" s="18"/>
      <c r="J50" s="18"/>
      <c r="K50" s="18"/>
      <c r="L50" s="18"/>
      <c r="M50" s="18"/>
      <c r="N50" s="18"/>
      <c r="O50" s="28"/>
      <c r="P50" s="18"/>
      <c r="Q50" s="27"/>
      <c r="R50" s="18"/>
      <c r="S50" s="18"/>
      <c r="T50" s="18"/>
      <c r="U50" s="18"/>
      <c r="V50" s="18"/>
      <c r="W50" s="18"/>
      <c r="X50" s="18"/>
      <c r="Y50" s="18"/>
      <c r="Z50" s="18"/>
      <c r="AA50" s="18"/>
      <c r="AB50" s="18"/>
      <c r="AC50" s="18"/>
      <c r="AD50" s="28"/>
      <c r="AE50" s="18"/>
      <c r="AF50" s="27"/>
      <c r="AG50" s="18"/>
      <c r="AH50" s="18"/>
      <c r="AI50" s="18"/>
      <c r="AJ50" s="18"/>
      <c r="AK50" s="18"/>
      <c r="AL50" s="18"/>
      <c r="AM50" s="18"/>
      <c r="AN50" s="18"/>
      <c r="AO50" s="28"/>
      <c r="AP50" s="18"/>
      <c r="AQ50" s="18"/>
      <c r="AR50" s="18"/>
      <c r="AS50" s="18"/>
      <c r="AT50" s="18"/>
      <c r="AU50" s="18"/>
      <c r="AV50" s="18"/>
      <c r="AW50" s="18"/>
      <c r="AX50" s="18"/>
    </row>
    <row r="51" spans="1:50" x14ac:dyDescent="0.3">
      <c r="A51" s="18"/>
      <c r="B51" s="27"/>
      <c r="C51" s="18"/>
      <c r="D51" s="18"/>
      <c r="E51" s="18"/>
      <c r="F51" s="18"/>
      <c r="G51" s="18"/>
      <c r="H51" s="18"/>
      <c r="I51" s="18"/>
      <c r="J51" s="18"/>
      <c r="K51" s="18"/>
      <c r="L51" s="18"/>
      <c r="M51" s="18"/>
      <c r="N51" s="18"/>
      <c r="O51" s="28"/>
      <c r="P51" s="18"/>
      <c r="Q51" s="27"/>
      <c r="R51" s="18"/>
      <c r="S51" s="18"/>
      <c r="T51" s="18"/>
      <c r="U51" s="18"/>
      <c r="V51" s="18"/>
      <c r="W51" s="18"/>
      <c r="X51" s="18"/>
      <c r="Y51" s="18"/>
      <c r="Z51" s="18"/>
      <c r="AA51" s="18"/>
      <c r="AB51" s="18"/>
      <c r="AC51" s="18"/>
      <c r="AD51" s="28"/>
      <c r="AE51" s="18"/>
      <c r="AF51" s="27"/>
      <c r="AG51" s="18"/>
      <c r="AH51" s="18"/>
      <c r="AI51" s="18"/>
      <c r="AJ51" s="18"/>
      <c r="AK51" s="18"/>
      <c r="AL51" s="18"/>
      <c r="AM51" s="18"/>
      <c r="AN51" s="18"/>
      <c r="AO51" s="28"/>
      <c r="AP51" s="18"/>
      <c r="AQ51" s="18"/>
      <c r="AR51" s="18"/>
      <c r="AS51" s="18"/>
      <c r="AT51" s="18"/>
      <c r="AU51" s="18"/>
      <c r="AV51" s="18"/>
      <c r="AW51" s="18"/>
      <c r="AX51" s="18"/>
    </row>
    <row r="52" spans="1:50" x14ac:dyDescent="0.3">
      <c r="A52" s="18"/>
      <c r="B52" s="27"/>
      <c r="C52" s="18"/>
      <c r="D52" s="18"/>
      <c r="E52" s="18"/>
      <c r="F52" s="18"/>
      <c r="G52" s="18"/>
      <c r="H52" s="18"/>
      <c r="I52" s="18"/>
      <c r="J52" s="18"/>
      <c r="K52" s="18"/>
      <c r="L52" s="18"/>
      <c r="M52" s="18"/>
      <c r="N52" s="18"/>
      <c r="O52" s="28"/>
      <c r="P52" s="18"/>
      <c r="Q52" s="27"/>
      <c r="R52" s="18"/>
      <c r="S52" s="18"/>
      <c r="T52" s="18"/>
      <c r="U52" s="18"/>
      <c r="V52" s="18"/>
      <c r="W52" s="18"/>
      <c r="X52" s="18"/>
      <c r="Y52" s="18"/>
      <c r="Z52" s="18"/>
      <c r="AA52" s="18"/>
      <c r="AB52" s="18"/>
      <c r="AC52" s="18"/>
      <c r="AD52" s="28"/>
      <c r="AE52" s="18"/>
      <c r="AF52" s="27"/>
      <c r="AG52" s="18"/>
      <c r="AH52" s="18"/>
      <c r="AI52" s="18"/>
      <c r="AJ52" s="18"/>
      <c r="AK52" s="18"/>
      <c r="AL52" s="18"/>
      <c r="AM52" s="18"/>
      <c r="AN52" s="18"/>
      <c r="AO52" s="28"/>
      <c r="AP52" s="18"/>
      <c r="AQ52" s="18"/>
      <c r="AR52" s="18"/>
      <c r="AS52" s="18"/>
      <c r="AT52" s="18"/>
      <c r="AU52" s="18"/>
      <c r="AV52" s="18"/>
      <c r="AW52" s="18"/>
      <c r="AX52" s="18"/>
    </row>
    <row r="53" spans="1:50" x14ac:dyDescent="0.3">
      <c r="A53" s="18"/>
      <c r="B53" s="27"/>
      <c r="C53" s="18"/>
      <c r="D53" s="18"/>
      <c r="E53" s="18"/>
      <c r="F53" s="18"/>
      <c r="G53" s="18"/>
      <c r="H53" s="18"/>
      <c r="I53" s="18"/>
      <c r="J53" s="18"/>
      <c r="K53" s="18"/>
      <c r="L53" s="18"/>
      <c r="M53" s="18"/>
      <c r="N53" s="18"/>
      <c r="O53" s="28"/>
      <c r="P53" s="18"/>
      <c r="Q53" s="27"/>
      <c r="R53" s="18"/>
      <c r="S53" s="18"/>
      <c r="T53" s="18"/>
      <c r="U53" s="18"/>
      <c r="V53" s="18"/>
      <c r="W53" s="18"/>
      <c r="X53" s="18"/>
      <c r="Y53" s="18"/>
      <c r="Z53" s="18"/>
      <c r="AA53" s="18"/>
      <c r="AB53" s="18"/>
      <c r="AC53" s="18"/>
      <c r="AD53" s="28"/>
      <c r="AE53" s="18"/>
      <c r="AF53" s="27"/>
      <c r="AG53" s="18"/>
      <c r="AH53" s="18"/>
      <c r="AI53" s="18"/>
      <c r="AJ53" s="18"/>
      <c r="AK53" s="18"/>
      <c r="AL53" s="18"/>
      <c r="AM53" s="18"/>
      <c r="AN53" s="18"/>
      <c r="AO53" s="28"/>
      <c r="AP53" s="18"/>
      <c r="AQ53" s="18"/>
      <c r="AR53" s="18"/>
      <c r="AS53" s="18"/>
      <c r="AT53" s="18"/>
      <c r="AU53" s="18"/>
      <c r="AV53" s="18"/>
      <c r="AW53" s="18"/>
      <c r="AX53" s="18"/>
    </row>
    <row r="54" spans="1:50" x14ac:dyDescent="0.3">
      <c r="A54" s="18"/>
      <c r="B54" s="27"/>
      <c r="C54" s="18"/>
      <c r="D54" s="18"/>
      <c r="E54" s="18"/>
      <c r="F54" s="18"/>
      <c r="G54" s="18"/>
      <c r="H54" s="18"/>
      <c r="I54" s="18"/>
      <c r="J54" s="18"/>
      <c r="K54" s="18"/>
      <c r="L54" s="18"/>
      <c r="M54" s="18"/>
      <c r="N54" s="18"/>
      <c r="O54" s="28"/>
      <c r="P54" s="18"/>
      <c r="Q54" s="27"/>
      <c r="R54" s="18"/>
      <c r="S54" s="18"/>
      <c r="T54" s="18"/>
      <c r="U54" s="18"/>
      <c r="V54" s="18"/>
      <c r="W54" s="18"/>
      <c r="X54" s="18"/>
      <c r="Y54" s="18"/>
      <c r="Z54" s="18"/>
      <c r="AA54" s="18"/>
      <c r="AB54" s="18"/>
      <c r="AC54" s="18"/>
      <c r="AD54" s="28"/>
      <c r="AE54" s="18"/>
      <c r="AF54" s="27"/>
      <c r="AG54" s="18"/>
      <c r="AH54" s="18"/>
      <c r="AI54" s="18"/>
      <c r="AJ54" s="18"/>
      <c r="AK54" s="18"/>
      <c r="AL54" s="18"/>
      <c r="AM54" s="18"/>
      <c r="AN54" s="18"/>
      <c r="AO54" s="28"/>
      <c r="AP54" s="18"/>
      <c r="AQ54" s="18"/>
      <c r="AR54" s="18"/>
      <c r="AS54" s="18"/>
      <c r="AT54" s="18"/>
      <c r="AU54" s="18"/>
      <c r="AV54" s="18"/>
      <c r="AW54" s="18"/>
      <c r="AX54" s="18"/>
    </row>
    <row r="55" spans="1:50" x14ac:dyDescent="0.3">
      <c r="A55" s="18"/>
      <c r="B55" s="27"/>
      <c r="C55" s="18"/>
      <c r="D55" s="18"/>
      <c r="E55" s="18"/>
      <c r="F55" s="18"/>
      <c r="G55" s="18"/>
      <c r="H55" s="18"/>
      <c r="I55" s="18"/>
      <c r="J55" s="18"/>
      <c r="K55" s="18"/>
      <c r="L55" s="18"/>
      <c r="M55" s="18"/>
      <c r="N55" s="18"/>
      <c r="O55" s="28"/>
      <c r="P55" s="18"/>
      <c r="Q55" s="27"/>
      <c r="R55" s="18"/>
      <c r="S55" s="18"/>
      <c r="T55" s="18"/>
      <c r="U55" s="18"/>
      <c r="V55" s="18"/>
      <c r="W55" s="18"/>
      <c r="X55" s="18"/>
      <c r="Y55" s="18"/>
      <c r="Z55" s="18"/>
      <c r="AA55" s="18"/>
      <c r="AB55" s="18"/>
      <c r="AC55" s="18"/>
      <c r="AD55" s="28"/>
      <c r="AE55" s="18"/>
      <c r="AF55" s="27"/>
      <c r="AG55" s="18"/>
      <c r="AH55" s="18"/>
      <c r="AI55" s="18"/>
      <c r="AJ55" s="18"/>
      <c r="AK55" s="18"/>
      <c r="AL55" s="18"/>
      <c r="AM55" s="18"/>
      <c r="AN55" s="18"/>
      <c r="AO55" s="28"/>
      <c r="AP55" s="18"/>
      <c r="AQ55" s="18"/>
      <c r="AR55" s="18"/>
      <c r="AS55" s="18"/>
      <c r="AT55" s="18"/>
      <c r="AU55" s="18"/>
      <c r="AV55" s="18"/>
      <c r="AW55" s="18"/>
      <c r="AX55" s="18"/>
    </row>
    <row r="56" spans="1:50" x14ac:dyDescent="0.3">
      <c r="A56" s="18"/>
      <c r="B56" s="27"/>
      <c r="C56" s="18"/>
      <c r="D56" s="18"/>
      <c r="E56" s="18"/>
      <c r="F56" s="18"/>
      <c r="G56" s="18"/>
      <c r="H56" s="18"/>
      <c r="I56" s="18"/>
      <c r="J56" s="18"/>
      <c r="K56" s="18"/>
      <c r="L56" s="18"/>
      <c r="M56" s="18"/>
      <c r="N56" s="18"/>
      <c r="O56" s="28"/>
      <c r="P56" s="18"/>
      <c r="Q56" s="27"/>
      <c r="R56" s="18"/>
      <c r="S56" s="18"/>
      <c r="T56" s="18"/>
      <c r="U56" s="18"/>
      <c r="V56" s="18"/>
      <c r="W56" s="18"/>
      <c r="X56" s="18"/>
      <c r="Y56" s="18"/>
      <c r="Z56" s="18"/>
      <c r="AA56" s="18"/>
      <c r="AB56" s="18"/>
      <c r="AC56" s="18"/>
      <c r="AD56" s="28"/>
      <c r="AE56" s="18"/>
      <c r="AF56" s="27"/>
      <c r="AG56" s="18"/>
      <c r="AH56" s="18"/>
      <c r="AI56" s="18"/>
      <c r="AJ56" s="18"/>
      <c r="AK56" s="18"/>
      <c r="AL56" s="18"/>
      <c r="AM56" s="18"/>
      <c r="AN56" s="18"/>
      <c r="AO56" s="28"/>
      <c r="AP56" s="18"/>
      <c r="AQ56" s="18"/>
      <c r="AR56" s="18"/>
      <c r="AS56" s="18"/>
      <c r="AT56" s="18"/>
      <c r="AU56" s="18"/>
      <c r="AV56" s="18"/>
      <c r="AW56" s="18"/>
      <c r="AX56" s="18"/>
    </row>
    <row r="57" spans="1:50" x14ac:dyDescent="0.3">
      <c r="A57" s="18"/>
      <c r="B57" s="27"/>
      <c r="C57" s="18"/>
      <c r="D57" s="18"/>
      <c r="E57" s="18"/>
      <c r="F57" s="18"/>
      <c r="G57" s="18"/>
      <c r="H57" s="18"/>
      <c r="I57" s="18"/>
      <c r="J57" s="18"/>
      <c r="K57" s="18"/>
      <c r="L57" s="18"/>
      <c r="M57" s="18"/>
      <c r="N57" s="18"/>
      <c r="O57" s="28"/>
      <c r="P57" s="18"/>
      <c r="Q57" s="27"/>
      <c r="R57" s="18"/>
      <c r="S57" s="18"/>
      <c r="T57" s="18"/>
      <c r="U57" s="18"/>
      <c r="V57" s="18"/>
      <c r="W57" s="18"/>
      <c r="X57" s="18"/>
      <c r="Y57" s="18"/>
      <c r="Z57" s="18"/>
      <c r="AA57" s="18"/>
      <c r="AB57" s="18"/>
      <c r="AC57" s="18"/>
      <c r="AD57" s="28"/>
      <c r="AE57" s="18"/>
      <c r="AF57" s="27"/>
      <c r="AG57" s="18"/>
      <c r="AH57" s="18"/>
      <c r="AI57" s="18"/>
      <c r="AJ57" s="18"/>
      <c r="AK57" s="18"/>
      <c r="AL57" s="18"/>
      <c r="AM57" s="18"/>
      <c r="AN57" s="18"/>
      <c r="AO57" s="28"/>
      <c r="AP57" s="18"/>
      <c r="AQ57" s="18"/>
      <c r="AR57" s="18"/>
      <c r="AS57" s="18"/>
      <c r="AT57" s="18"/>
      <c r="AU57" s="18"/>
      <c r="AV57" s="18"/>
      <c r="AW57" s="18"/>
      <c r="AX57" s="18"/>
    </row>
    <row r="58" spans="1:50" ht="15" thickBot="1" x14ac:dyDescent="0.35">
      <c r="A58" s="18"/>
      <c r="B58" s="29"/>
      <c r="C58" s="30"/>
      <c r="D58" s="30"/>
      <c r="E58" s="30"/>
      <c r="F58" s="30"/>
      <c r="G58" s="30"/>
      <c r="H58" s="30"/>
      <c r="I58" s="30"/>
      <c r="J58" s="30"/>
      <c r="K58" s="30"/>
      <c r="L58" s="30"/>
      <c r="M58" s="30"/>
      <c r="N58" s="30"/>
      <c r="O58" s="31"/>
      <c r="P58" s="18"/>
      <c r="Q58" s="29"/>
      <c r="R58" s="30"/>
      <c r="S58" s="30"/>
      <c r="T58" s="30"/>
      <c r="U58" s="30"/>
      <c r="V58" s="30"/>
      <c r="W58" s="30"/>
      <c r="X58" s="30"/>
      <c r="Y58" s="30"/>
      <c r="Z58" s="30"/>
      <c r="AA58" s="30"/>
      <c r="AB58" s="30"/>
      <c r="AC58" s="30"/>
      <c r="AD58" s="31"/>
      <c r="AE58" s="18"/>
      <c r="AF58" s="29"/>
      <c r="AG58" s="30"/>
      <c r="AH58" s="30"/>
      <c r="AI58" s="30"/>
      <c r="AJ58" s="30"/>
      <c r="AK58" s="30"/>
      <c r="AL58" s="30"/>
      <c r="AM58" s="30"/>
      <c r="AN58" s="30"/>
      <c r="AO58" s="31"/>
      <c r="AP58" s="18"/>
      <c r="AQ58" s="18"/>
      <c r="AR58" s="18"/>
      <c r="AS58" s="18"/>
      <c r="AT58" s="18"/>
      <c r="AU58" s="18"/>
      <c r="AV58" s="18"/>
      <c r="AW58" s="18"/>
      <c r="AX58" s="18"/>
    </row>
    <row r="59" spans="1:50" x14ac:dyDescent="0.3">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row>
    <row r="60" spans="1:50" x14ac:dyDescent="0.3">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row>
    <row r="61" spans="1:50" x14ac:dyDescent="0.3">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row>
    <row r="62" spans="1:50" x14ac:dyDescent="0.3">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row>
    <row r="63" spans="1:50" x14ac:dyDescent="0.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row>
    <row r="64" spans="1:50" x14ac:dyDescent="0.3">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row>
    <row r="65" spans="1:42" x14ac:dyDescent="0.3">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row>
    <row r="66" spans="1:42" x14ac:dyDescent="0.3">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row>
    <row r="67" spans="1:42" x14ac:dyDescent="0.3">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row>
    <row r="68" spans="1:42" x14ac:dyDescent="0.3">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row>
    <row r="69" spans="1:42" x14ac:dyDescent="0.3">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row>
    <row r="70" spans="1:42" x14ac:dyDescent="0.3">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row>
    <row r="71" spans="1:42" x14ac:dyDescent="0.3">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L71" s="18"/>
      <c r="AM71" s="18"/>
      <c r="AN71" s="18"/>
      <c r="AO71" s="18"/>
      <c r="AP71" s="18"/>
    </row>
    <row r="72" spans="1:42" x14ac:dyDescent="0.3">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O72" s="18"/>
      <c r="AP72" s="18"/>
    </row>
    <row r="73" spans="1:42" x14ac:dyDescent="0.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O73" s="18"/>
      <c r="AP73" s="18"/>
    </row>
    <row r="74" spans="1:42" x14ac:dyDescent="0.3">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O74" s="18"/>
      <c r="AP74" s="18"/>
    </row>
    <row r="75" spans="1:42" x14ac:dyDescent="0.3">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O75" s="18"/>
      <c r="AP75" s="18"/>
    </row>
    <row r="76" spans="1:42" x14ac:dyDescent="0.3">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O76" s="18"/>
      <c r="AP76" s="18"/>
    </row>
    <row r="77" spans="1:42" x14ac:dyDescent="0.3">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O77" s="18"/>
      <c r="AP77" s="18"/>
    </row>
    <row r="78" spans="1:42" x14ac:dyDescent="0.3">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O78" s="18"/>
      <c r="AP78" s="18"/>
    </row>
    <row r="79" spans="1:42" x14ac:dyDescent="0.3">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O79" s="18"/>
      <c r="AP79" s="18"/>
    </row>
    <row r="80" spans="1:42" x14ac:dyDescent="0.3">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O80" s="18"/>
      <c r="AP80" s="18"/>
    </row>
    <row r="81" spans="1:42" x14ac:dyDescent="0.3">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O81" s="18"/>
      <c r="AP81" s="18"/>
    </row>
    <row r="82" spans="1:42" x14ac:dyDescent="0.3">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O82" s="18"/>
      <c r="AP82" s="18"/>
    </row>
    <row r="83" spans="1:42" x14ac:dyDescent="0.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O83" s="18"/>
      <c r="AP83" s="18"/>
    </row>
    <row r="84" spans="1:42" x14ac:dyDescent="0.3">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O84" s="18"/>
      <c r="AP84" s="18"/>
    </row>
    <row r="85" spans="1:42" x14ac:dyDescent="0.3">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O85" s="18"/>
      <c r="AP85" s="18"/>
    </row>
    <row r="86" spans="1:42" x14ac:dyDescent="0.3">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O86" s="18"/>
      <c r="AP86" s="18"/>
    </row>
    <row r="87" spans="1:42" x14ac:dyDescent="0.3">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O87" s="18"/>
      <c r="AP87" s="18"/>
    </row>
    <row r="88" spans="1:42" x14ac:dyDescent="0.3">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O88" s="18"/>
      <c r="AP88" s="18"/>
    </row>
    <row r="89" spans="1:42" x14ac:dyDescent="0.3">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O89" s="18"/>
      <c r="AP89" s="18"/>
    </row>
    <row r="90" spans="1:42" x14ac:dyDescent="0.3">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O90" s="18"/>
      <c r="AP90" s="18"/>
    </row>
    <row r="91" spans="1:42" x14ac:dyDescent="0.3">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O91" s="18"/>
      <c r="AP91" s="18"/>
    </row>
    <row r="92" spans="1:42" x14ac:dyDescent="0.3">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O92" s="18"/>
      <c r="AP92" s="18"/>
    </row>
    <row r="93" spans="1:42" x14ac:dyDescent="0.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O93" s="18"/>
      <c r="AP93" s="18"/>
    </row>
    <row r="94" spans="1:42" x14ac:dyDescent="0.3">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O94" s="18"/>
      <c r="AP94" s="18"/>
    </row>
    <row r="95" spans="1:42" x14ac:dyDescent="0.3">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O95" s="18"/>
      <c r="AP95" s="18"/>
    </row>
    <row r="96" spans="1:42" x14ac:dyDescent="0.3">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O96" s="18"/>
      <c r="AP96" s="18"/>
    </row>
    <row r="97" spans="1:42" x14ac:dyDescent="0.3">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O97" s="18"/>
      <c r="AP97" s="18"/>
    </row>
    <row r="98" spans="1:42" x14ac:dyDescent="0.3">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O98" s="18"/>
      <c r="AP98" s="18"/>
    </row>
    <row r="99" spans="1:42" x14ac:dyDescent="0.3">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O99" s="18"/>
      <c r="AP99" s="18"/>
    </row>
    <row r="100" spans="1:42" x14ac:dyDescent="0.3">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O100" s="18"/>
      <c r="AP100" s="18"/>
    </row>
    <row r="101" spans="1:42" x14ac:dyDescent="0.3">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O101" s="18"/>
      <c r="AP101" s="18"/>
    </row>
    <row r="102" spans="1:42" x14ac:dyDescent="0.3">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O102" s="18"/>
      <c r="AP102" s="18"/>
    </row>
    <row r="103" spans="1:42" x14ac:dyDescent="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O103" s="18"/>
      <c r="AP103" s="18"/>
    </row>
    <row r="104" spans="1:42" x14ac:dyDescent="0.3">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O104" s="18"/>
      <c r="AP104" s="18"/>
    </row>
    <row r="105" spans="1:42" x14ac:dyDescent="0.3">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O105" s="18"/>
      <c r="AP105" s="18"/>
    </row>
    <row r="106" spans="1:42" x14ac:dyDescent="0.3">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O106" s="18"/>
      <c r="AP106" s="18"/>
    </row>
    <row r="107" spans="1:42" x14ac:dyDescent="0.3">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O107" s="18"/>
      <c r="AP107" s="18"/>
    </row>
    <row r="108" spans="1:42" x14ac:dyDescent="0.3">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O108" s="18"/>
      <c r="AP108" s="18"/>
    </row>
    <row r="109" spans="1:42" x14ac:dyDescent="0.3">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O109" s="18"/>
      <c r="AP109" s="18"/>
    </row>
    <row r="110" spans="1:42" x14ac:dyDescent="0.3">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O110" s="18"/>
      <c r="AP110" s="18"/>
    </row>
    <row r="111" spans="1:42" x14ac:dyDescent="0.3">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O111" s="18"/>
      <c r="AP111" s="18"/>
    </row>
    <row r="112" spans="1:42" x14ac:dyDescent="0.3">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O112" s="18"/>
      <c r="AP112" s="18"/>
    </row>
    <row r="113" spans="1:42" x14ac:dyDescent="0.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O113" s="18"/>
      <c r="AP113" s="18"/>
    </row>
    <row r="114" spans="1:42" x14ac:dyDescent="0.3">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O114" s="18"/>
      <c r="AP114" s="18"/>
    </row>
    <row r="115" spans="1:42" x14ac:dyDescent="0.3">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O115" s="18"/>
      <c r="AP115" s="18"/>
    </row>
    <row r="116" spans="1:42" x14ac:dyDescent="0.3">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O116" s="18"/>
      <c r="AP116" s="18"/>
    </row>
    <row r="117" spans="1:42" x14ac:dyDescent="0.3">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O117" s="18"/>
      <c r="AP117" s="18"/>
    </row>
    <row r="118" spans="1:42" x14ac:dyDescent="0.3">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O118" s="18"/>
      <c r="AP118" s="18"/>
    </row>
    <row r="119" spans="1:42" x14ac:dyDescent="0.3">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O119" s="18"/>
      <c r="AP119" s="18"/>
    </row>
    <row r="120" spans="1:42" x14ac:dyDescent="0.3">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O120" s="18"/>
      <c r="AP120" s="18"/>
    </row>
    <row r="121" spans="1:42" x14ac:dyDescent="0.3">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row>
    <row r="122" spans="1:42" x14ac:dyDescent="0.3">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row>
    <row r="123" spans="1:42" x14ac:dyDescent="0.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row>
    <row r="124" spans="1:42" x14ac:dyDescent="0.3">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row>
    <row r="125" spans="1:42" x14ac:dyDescent="0.3">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row>
    <row r="126" spans="1:42" x14ac:dyDescent="0.3">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row>
    <row r="127" spans="1:42" x14ac:dyDescent="0.3">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row>
    <row r="128" spans="1:42" x14ac:dyDescent="0.3">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row>
    <row r="129" spans="1:31" x14ac:dyDescent="0.3">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row>
    <row r="130" spans="1:31" x14ac:dyDescent="0.3">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row>
    <row r="131" spans="1:31" x14ac:dyDescent="0.3">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row>
    <row r="132" spans="1:31" x14ac:dyDescent="0.3">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row>
    <row r="133" spans="1:31" x14ac:dyDescent="0.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row>
    <row r="134" spans="1:31" x14ac:dyDescent="0.3">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row>
    <row r="135" spans="1:31" x14ac:dyDescent="0.3">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row>
    <row r="136" spans="1:31" x14ac:dyDescent="0.3">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row>
    <row r="137" spans="1:31" x14ac:dyDescent="0.3">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row>
    <row r="138" spans="1:31" x14ac:dyDescent="0.3">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row>
    <row r="139" spans="1:31" x14ac:dyDescent="0.3">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row>
    <row r="140" spans="1:31" x14ac:dyDescent="0.3">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row>
    <row r="141" spans="1:31" x14ac:dyDescent="0.3">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row>
    <row r="142" spans="1:31" x14ac:dyDescent="0.3">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row>
    <row r="143" spans="1:31" x14ac:dyDescent="0.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row>
    <row r="144" spans="1:31" x14ac:dyDescent="0.3">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row>
    <row r="145" spans="1:31" x14ac:dyDescent="0.3">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row>
    <row r="146" spans="1:31" x14ac:dyDescent="0.3">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row>
    <row r="147" spans="1:31" x14ac:dyDescent="0.3">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row>
    <row r="148" spans="1:31" x14ac:dyDescent="0.3">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row>
    <row r="149" spans="1:31" x14ac:dyDescent="0.3">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row>
    <row r="150" spans="1:31" x14ac:dyDescent="0.3">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row>
    <row r="151" spans="1:31" x14ac:dyDescent="0.3">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row>
    <row r="152" spans="1:31" x14ac:dyDescent="0.3">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row>
    <row r="153" spans="1:31" x14ac:dyDescent="0.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row>
    <row r="154" spans="1:31" x14ac:dyDescent="0.3">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row>
    <row r="155" spans="1:31" x14ac:dyDescent="0.3">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row>
    <row r="156" spans="1:31" x14ac:dyDescent="0.3">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row>
    <row r="157" spans="1:31" x14ac:dyDescent="0.3">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row>
    <row r="158" spans="1:31" x14ac:dyDescent="0.3">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row>
    <row r="159" spans="1:31" x14ac:dyDescent="0.3">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row>
    <row r="160" spans="1:31" x14ac:dyDescent="0.3">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row>
    <row r="161" spans="1:31" x14ac:dyDescent="0.3">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row>
    <row r="162" spans="1:31" x14ac:dyDescent="0.3">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row>
    <row r="163" spans="1:31" x14ac:dyDescent="0.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row>
    <row r="164" spans="1:31" x14ac:dyDescent="0.3">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row>
    <row r="165" spans="1:31" x14ac:dyDescent="0.3">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row>
    <row r="166" spans="1:31" x14ac:dyDescent="0.3">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row>
    <row r="167" spans="1:31" x14ac:dyDescent="0.3">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row>
    <row r="168" spans="1:31" x14ac:dyDescent="0.3">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row>
    <row r="169" spans="1:31" x14ac:dyDescent="0.3">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row>
    <row r="170" spans="1:31" x14ac:dyDescent="0.3">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row>
    <row r="171" spans="1:31" x14ac:dyDescent="0.3">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row>
    <row r="172" spans="1:31" x14ac:dyDescent="0.3">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row>
    <row r="173" spans="1:31" x14ac:dyDescent="0.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row>
    <row r="174" spans="1:31" x14ac:dyDescent="0.3">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row>
    <row r="175" spans="1:31" x14ac:dyDescent="0.3">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row>
    <row r="176" spans="1:31" x14ac:dyDescent="0.3">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row>
    <row r="177" spans="1:31" x14ac:dyDescent="0.3">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row>
    <row r="178" spans="1:31" x14ac:dyDescent="0.3">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row>
    <row r="179" spans="1:31" x14ac:dyDescent="0.3">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row>
    <row r="180" spans="1:31" x14ac:dyDescent="0.3">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row>
    <row r="181" spans="1:31" x14ac:dyDescent="0.3">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row>
    <row r="182" spans="1:31" x14ac:dyDescent="0.3">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row>
    <row r="183" spans="1:31" x14ac:dyDescent="0.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row>
    <row r="184" spans="1:31" x14ac:dyDescent="0.3">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row>
    <row r="185" spans="1:31" x14ac:dyDescent="0.3">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row>
    <row r="186" spans="1:31" x14ac:dyDescent="0.3">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row>
    <row r="187" spans="1:31" x14ac:dyDescent="0.3">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row>
    <row r="188" spans="1:31" x14ac:dyDescent="0.3">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row>
    <row r="189" spans="1:31" x14ac:dyDescent="0.3">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row>
    <row r="190" spans="1:31" x14ac:dyDescent="0.3">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row>
    <row r="191" spans="1:31" x14ac:dyDescent="0.3">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row>
    <row r="192" spans="1:31" x14ac:dyDescent="0.3">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row>
    <row r="193" spans="1:31" x14ac:dyDescent="0.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row>
    <row r="194" spans="1:31" x14ac:dyDescent="0.3">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row>
    <row r="195" spans="1:31" x14ac:dyDescent="0.3">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row>
    <row r="196" spans="1:31" x14ac:dyDescent="0.3">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row>
    <row r="197" spans="1:31" x14ac:dyDescent="0.3">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row>
    <row r="198" spans="1:31" x14ac:dyDescent="0.3">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row>
    <row r="199" spans="1:31" x14ac:dyDescent="0.3">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row>
    <row r="200" spans="1:31" x14ac:dyDescent="0.3">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row>
    <row r="201" spans="1:31" x14ac:dyDescent="0.3">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row>
    <row r="202" spans="1:31" x14ac:dyDescent="0.3">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row>
    <row r="203" spans="1:31" x14ac:dyDescent="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row>
    <row r="204" spans="1:31" x14ac:dyDescent="0.3">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row>
    <row r="205" spans="1:31" x14ac:dyDescent="0.3">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row>
    <row r="206" spans="1:31" x14ac:dyDescent="0.3">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row>
    <row r="207" spans="1:31" x14ac:dyDescent="0.3">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row>
    <row r="208" spans="1:31" x14ac:dyDescent="0.3">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row>
    <row r="209" spans="1:31" x14ac:dyDescent="0.3">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row>
    <row r="210" spans="1:31" x14ac:dyDescent="0.3">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row>
    <row r="211" spans="1:31" x14ac:dyDescent="0.3">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row>
    <row r="212" spans="1:31" x14ac:dyDescent="0.3">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row>
    <row r="213" spans="1:31" x14ac:dyDescent="0.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row>
    <row r="214" spans="1:31" x14ac:dyDescent="0.3">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row>
    <row r="215" spans="1:31" x14ac:dyDescent="0.3">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row>
    <row r="216" spans="1:31" x14ac:dyDescent="0.3">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row>
    <row r="217" spans="1:31" x14ac:dyDescent="0.3">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row>
    <row r="218" spans="1:31" x14ac:dyDescent="0.3">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row>
    <row r="219" spans="1:31" x14ac:dyDescent="0.3">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row>
    <row r="220" spans="1:31" x14ac:dyDescent="0.3">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row>
    <row r="221" spans="1:31" x14ac:dyDescent="0.3">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row>
    <row r="222" spans="1:31" x14ac:dyDescent="0.3">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row>
    <row r="223" spans="1:31" x14ac:dyDescent="0.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row>
    <row r="224" spans="1:31" x14ac:dyDescent="0.3">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row>
    <row r="225" spans="1:31" x14ac:dyDescent="0.3">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row>
    <row r="226" spans="1:31" x14ac:dyDescent="0.3">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row>
    <row r="227" spans="1:31" x14ac:dyDescent="0.3">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row>
    <row r="228" spans="1:31" x14ac:dyDescent="0.3">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row>
    <row r="229" spans="1:31" x14ac:dyDescent="0.3">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row>
    <row r="230" spans="1:31" x14ac:dyDescent="0.3">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row>
    <row r="231" spans="1:31" x14ac:dyDescent="0.3">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row>
    <row r="232" spans="1:31" x14ac:dyDescent="0.3">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row>
    <row r="233" spans="1:31" x14ac:dyDescent="0.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row>
    <row r="234" spans="1:31" x14ac:dyDescent="0.3">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row>
    <row r="235" spans="1:31" x14ac:dyDescent="0.3">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row>
    <row r="236" spans="1:31" x14ac:dyDescent="0.3">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row>
    <row r="237" spans="1:31" x14ac:dyDescent="0.3">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row>
    <row r="238" spans="1:31" x14ac:dyDescent="0.3">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row>
    <row r="239" spans="1:31" x14ac:dyDescent="0.3">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row>
    <row r="240" spans="1:31" x14ac:dyDescent="0.3">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row>
    <row r="241" spans="1:31" x14ac:dyDescent="0.3">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row>
    <row r="242" spans="1:31" x14ac:dyDescent="0.3">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row>
    <row r="243" spans="1:31" x14ac:dyDescent="0.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row>
    <row r="244" spans="1:31" x14ac:dyDescent="0.3">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row>
    <row r="245" spans="1:31" x14ac:dyDescent="0.3">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row>
    <row r="246" spans="1:31" x14ac:dyDescent="0.3">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row>
    <row r="247" spans="1:31" x14ac:dyDescent="0.3">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row>
    <row r="248" spans="1:31" x14ac:dyDescent="0.3">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row>
    <row r="249" spans="1:31" x14ac:dyDescent="0.3">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row>
    <row r="250" spans="1:31" x14ac:dyDescent="0.3">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row>
    <row r="251" spans="1:31" x14ac:dyDescent="0.3">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row>
    <row r="252" spans="1:31" x14ac:dyDescent="0.3">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row>
    <row r="253" spans="1:31" x14ac:dyDescent="0.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row>
    <row r="254" spans="1:31" x14ac:dyDescent="0.3">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row>
    <row r="255" spans="1:31" x14ac:dyDescent="0.3">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row>
    <row r="256" spans="1:31" x14ac:dyDescent="0.3">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row>
    <row r="257" spans="1:31" x14ac:dyDescent="0.3">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row>
    <row r="258" spans="1:31" x14ac:dyDescent="0.3">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row>
    <row r="259" spans="1:31" x14ac:dyDescent="0.3">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row>
    <row r="260" spans="1:31" x14ac:dyDescent="0.3">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row>
    <row r="261" spans="1:31" x14ac:dyDescent="0.3">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row>
    <row r="262" spans="1:31" x14ac:dyDescent="0.3">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row>
    <row r="263" spans="1:31" x14ac:dyDescent="0.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row>
    <row r="264" spans="1:31" x14ac:dyDescent="0.3">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row>
    <row r="265" spans="1:31" x14ac:dyDescent="0.3">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row>
    <row r="266" spans="1:31" x14ac:dyDescent="0.3">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row>
    <row r="267" spans="1:31" x14ac:dyDescent="0.3">
      <c r="A267" s="18"/>
      <c r="B267" s="18"/>
      <c r="C267" s="18"/>
      <c r="D267" s="18"/>
      <c r="E267" s="18"/>
      <c r="F267" s="18"/>
      <c r="G267" s="18"/>
      <c r="H267" s="18"/>
      <c r="I267" s="18"/>
      <c r="J267" s="18"/>
      <c r="K267" s="18"/>
      <c r="L267" s="18"/>
      <c r="M267" s="18"/>
      <c r="N267" s="18"/>
      <c r="O267" s="18"/>
      <c r="P267" s="18"/>
      <c r="Q267" s="18"/>
      <c r="R267" s="18"/>
      <c r="S267" s="18"/>
      <c r="T267" s="18"/>
      <c r="U267" s="18"/>
      <c r="V267" s="18"/>
      <c r="X267" s="18"/>
      <c r="Y267" s="18"/>
      <c r="Z267" s="18"/>
      <c r="AA267" s="18"/>
      <c r="AB267" s="18"/>
      <c r="AC267" s="18"/>
      <c r="AD267" s="18"/>
      <c r="AE267" s="18"/>
    </row>
    <row r="268" spans="1:31" x14ac:dyDescent="0.3">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row>
    <row r="269" spans="1:31" x14ac:dyDescent="0.3">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row>
    <row r="270" spans="1:31" x14ac:dyDescent="0.3">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row>
    <row r="271" spans="1:31" x14ac:dyDescent="0.3">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row>
    <row r="272" spans="1:31" x14ac:dyDescent="0.3">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row>
    <row r="273" spans="1:31" x14ac:dyDescent="0.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row>
    <row r="274" spans="1:31" x14ac:dyDescent="0.3">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row>
    <row r="275" spans="1:31" x14ac:dyDescent="0.3">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row>
    <row r="276" spans="1:31" x14ac:dyDescent="0.3">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row>
    <row r="277" spans="1:31" x14ac:dyDescent="0.3">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row>
    <row r="278" spans="1:31" x14ac:dyDescent="0.3">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row>
    <row r="279" spans="1:31" x14ac:dyDescent="0.3">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row>
    <row r="280" spans="1:31" x14ac:dyDescent="0.3">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row>
    <row r="281" spans="1:31" x14ac:dyDescent="0.3">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row>
    <row r="282" spans="1:31" x14ac:dyDescent="0.3">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row>
    <row r="283" spans="1:31" x14ac:dyDescent="0.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row>
    <row r="284" spans="1:31" x14ac:dyDescent="0.3">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row>
    <row r="285" spans="1:31" x14ac:dyDescent="0.3">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row>
    <row r="286" spans="1:31" x14ac:dyDescent="0.3">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row>
    <row r="287" spans="1:31" x14ac:dyDescent="0.3">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row>
    <row r="288" spans="1:31" x14ac:dyDescent="0.3">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row>
    <row r="289" spans="1:31" x14ac:dyDescent="0.3">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row>
    <row r="290" spans="1:31" x14ac:dyDescent="0.3">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row>
    <row r="291" spans="1:31" x14ac:dyDescent="0.3">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row>
    <row r="292" spans="1:31" x14ac:dyDescent="0.3">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row>
    <row r="293" spans="1:31" x14ac:dyDescent="0.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row>
    <row r="294" spans="1:31" x14ac:dyDescent="0.3">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row>
    <row r="295" spans="1:31" x14ac:dyDescent="0.3">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row>
    <row r="296" spans="1:31" x14ac:dyDescent="0.3">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row>
    <row r="297" spans="1:31" x14ac:dyDescent="0.3">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row>
    <row r="298" spans="1:31" x14ac:dyDescent="0.3">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row>
    <row r="299" spans="1:31" x14ac:dyDescent="0.3">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row>
    <row r="300" spans="1:31" x14ac:dyDescent="0.3">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row>
    <row r="301" spans="1:31" x14ac:dyDescent="0.3">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row>
    <row r="302" spans="1:31" x14ac:dyDescent="0.3">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row>
    <row r="303" spans="1:31" x14ac:dyDescent="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row>
    <row r="304" spans="1:31" x14ac:dyDescent="0.3">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row>
    <row r="305" spans="1:31" x14ac:dyDescent="0.3">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row>
    <row r="306" spans="1:31" x14ac:dyDescent="0.3">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row>
    <row r="307" spans="1:31" x14ac:dyDescent="0.3">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row>
    <row r="308" spans="1:31" x14ac:dyDescent="0.3">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row>
    <row r="309" spans="1:31" x14ac:dyDescent="0.3">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row>
    <row r="310" spans="1:31" x14ac:dyDescent="0.3">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row>
    <row r="311" spans="1:31" x14ac:dyDescent="0.3">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row>
    <row r="312" spans="1:31" x14ac:dyDescent="0.3">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row>
    <row r="313" spans="1:31" x14ac:dyDescent="0.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row>
    <row r="314" spans="1:31" x14ac:dyDescent="0.3">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row>
    <row r="315" spans="1:31" x14ac:dyDescent="0.3">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row>
    <row r="316" spans="1:31" x14ac:dyDescent="0.3">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row>
    <row r="317" spans="1:31" x14ac:dyDescent="0.3">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row>
    <row r="318" spans="1:31" x14ac:dyDescent="0.3">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row>
    <row r="319" spans="1:31" x14ac:dyDescent="0.3">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row>
    <row r="320" spans="1:31" x14ac:dyDescent="0.3">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row>
    <row r="321" spans="1:31" x14ac:dyDescent="0.3">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row>
    <row r="322" spans="1:31" x14ac:dyDescent="0.3">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row>
    <row r="323" spans="1:31" x14ac:dyDescent="0.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row>
    <row r="324" spans="1:31" x14ac:dyDescent="0.3">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row>
    <row r="325" spans="1:31" x14ac:dyDescent="0.3">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row>
    <row r="326" spans="1:31" x14ac:dyDescent="0.3">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row>
    <row r="327" spans="1:31" x14ac:dyDescent="0.3">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row>
    <row r="328" spans="1:31" x14ac:dyDescent="0.3">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row>
    <row r="329" spans="1:31" x14ac:dyDescent="0.3">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row>
    <row r="330" spans="1:31" x14ac:dyDescent="0.3">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row>
    <row r="331" spans="1:31" x14ac:dyDescent="0.3">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row>
    <row r="332" spans="1:31" x14ac:dyDescent="0.3">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row>
    <row r="333" spans="1:31" x14ac:dyDescent="0.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row>
    <row r="334" spans="1:31" x14ac:dyDescent="0.3">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row>
    <row r="335" spans="1:31" x14ac:dyDescent="0.3">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row>
    <row r="336" spans="1:31" x14ac:dyDescent="0.3">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row>
    <row r="337" spans="1:31" x14ac:dyDescent="0.3">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row>
    <row r="338" spans="1:31" x14ac:dyDescent="0.3">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row>
    <row r="339" spans="1:31" x14ac:dyDescent="0.3">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row>
    <row r="340" spans="1:31" x14ac:dyDescent="0.3">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row>
    <row r="341" spans="1:31" x14ac:dyDescent="0.3">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row>
    <row r="342" spans="1:31" x14ac:dyDescent="0.3">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row>
    <row r="343" spans="1:31" x14ac:dyDescent="0.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row>
    <row r="344" spans="1:31" x14ac:dyDescent="0.3">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row>
    <row r="345" spans="1:31" x14ac:dyDescent="0.3">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row>
    <row r="346" spans="1:31" x14ac:dyDescent="0.3">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row>
    <row r="347" spans="1:31" x14ac:dyDescent="0.3">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row>
    <row r="348" spans="1:31" x14ac:dyDescent="0.3">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row>
    <row r="349" spans="1:31" x14ac:dyDescent="0.3">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row>
    <row r="350" spans="1:31" x14ac:dyDescent="0.3">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row>
    <row r="351" spans="1:31" x14ac:dyDescent="0.3">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row>
    <row r="352" spans="1:31" x14ac:dyDescent="0.3">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row>
    <row r="353" spans="1:31" x14ac:dyDescent="0.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row>
    <row r="354" spans="1:31" x14ac:dyDescent="0.3">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row>
    <row r="355" spans="1:31" x14ac:dyDescent="0.3">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row>
    <row r="356" spans="1:31" x14ac:dyDescent="0.3">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row>
    <row r="357" spans="1:31" x14ac:dyDescent="0.3">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row>
    <row r="358" spans="1:31" x14ac:dyDescent="0.3">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row>
    <row r="359" spans="1:31" x14ac:dyDescent="0.3">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row>
    <row r="360" spans="1:31" x14ac:dyDescent="0.3">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row>
    <row r="361" spans="1:31" x14ac:dyDescent="0.3">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row>
    <row r="362" spans="1:31" x14ac:dyDescent="0.3">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row>
    <row r="363" spans="1:31" x14ac:dyDescent="0.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row>
    <row r="364" spans="1:31" x14ac:dyDescent="0.3">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row>
    <row r="365" spans="1:31" x14ac:dyDescent="0.3">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row>
    <row r="366" spans="1:31" x14ac:dyDescent="0.3">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row>
    <row r="367" spans="1:31" x14ac:dyDescent="0.3">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row>
    <row r="368" spans="1:31" x14ac:dyDescent="0.3">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row>
    <row r="369" spans="1:31" x14ac:dyDescent="0.3">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row>
    <row r="370" spans="1:31" x14ac:dyDescent="0.3">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row>
    <row r="371" spans="1:31" x14ac:dyDescent="0.3">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row>
    <row r="372" spans="1:31" x14ac:dyDescent="0.3">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row>
    <row r="373" spans="1:31" x14ac:dyDescent="0.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row>
    <row r="374" spans="1:31" x14ac:dyDescent="0.3">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row>
    <row r="375" spans="1:31" x14ac:dyDescent="0.3">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row>
    <row r="376" spans="1:31" x14ac:dyDescent="0.3">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row>
    <row r="377" spans="1:31" x14ac:dyDescent="0.3">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row>
    <row r="378" spans="1:31" x14ac:dyDescent="0.3">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row>
    <row r="379" spans="1:31" x14ac:dyDescent="0.3">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row>
    <row r="380" spans="1:31" x14ac:dyDescent="0.3">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row>
    <row r="381" spans="1:31" x14ac:dyDescent="0.3">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row>
    <row r="382" spans="1:31" x14ac:dyDescent="0.3">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row>
    <row r="383" spans="1:31" x14ac:dyDescent="0.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row>
    <row r="384" spans="1:31" x14ac:dyDescent="0.3">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row>
    <row r="385" spans="1:31" x14ac:dyDescent="0.3">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row>
    <row r="386" spans="1:31" x14ac:dyDescent="0.3">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row>
    <row r="387" spans="1:31" x14ac:dyDescent="0.3">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row>
    <row r="388" spans="1:31" x14ac:dyDescent="0.3">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row>
    <row r="389" spans="1:31" x14ac:dyDescent="0.3">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row>
    <row r="390" spans="1:31" x14ac:dyDescent="0.3">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row>
    <row r="391" spans="1:31" x14ac:dyDescent="0.3">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row>
    <row r="392" spans="1:31" x14ac:dyDescent="0.3">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row>
    <row r="393" spans="1:31" x14ac:dyDescent="0.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row>
    <row r="394" spans="1:31" x14ac:dyDescent="0.3">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row>
    <row r="395" spans="1:31" x14ac:dyDescent="0.3">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row>
    <row r="396" spans="1:31" x14ac:dyDescent="0.3">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row>
    <row r="397" spans="1:31" x14ac:dyDescent="0.3">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row>
    <row r="398" spans="1:31" x14ac:dyDescent="0.3">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row>
    <row r="399" spans="1:31" x14ac:dyDescent="0.3">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row>
    <row r="400" spans="1:31" x14ac:dyDescent="0.3">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row>
    <row r="401" spans="1:31" x14ac:dyDescent="0.3">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row>
    <row r="402" spans="1:31" x14ac:dyDescent="0.3">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row>
    <row r="403" spans="1:31" x14ac:dyDescent="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row>
    <row r="404" spans="1:31" x14ac:dyDescent="0.3">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row>
    <row r="405" spans="1:31" x14ac:dyDescent="0.3">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row>
    <row r="406" spans="1:31" x14ac:dyDescent="0.3">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row>
    <row r="407" spans="1:31" x14ac:dyDescent="0.3">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row>
    <row r="408" spans="1:31" x14ac:dyDescent="0.3">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row>
    <row r="409" spans="1:31" x14ac:dyDescent="0.3">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row>
    <row r="410" spans="1:31" x14ac:dyDescent="0.3">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row>
    <row r="411" spans="1:31" x14ac:dyDescent="0.3">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row>
    <row r="412" spans="1:31" x14ac:dyDescent="0.3">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row>
    <row r="413" spans="1:31" x14ac:dyDescent="0.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row>
    <row r="414" spans="1:31" x14ac:dyDescent="0.3">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row>
    <row r="415" spans="1:31" x14ac:dyDescent="0.3">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row>
    <row r="416" spans="1:31" x14ac:dyDescent="0.3">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row>
    <row r="417" spans="1:31" x14ac:dyDescent="0.3">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row>
    <row r="418" spans="1:31" x14ac:dyDescent="0.3">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row>
    <row r="419" spans="1:31" x14ac:dyDescent="0.3">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row>
    <row r="420" spans="1:31" x14ac:dyDescent="0.3">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row>
    <row r="421" spans="1:31" x14ac:dyDescent="0.3">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row>
    <row r="422" spans="1:31" x14ac:dyDescent="0.3">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row>
    <row r="423" spans="1:31" x14ac:dyDescent="0.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row>
    <row r="424" spans="1:31" x14ac:dyDescent="0.3">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row>
    <row r="425" spans="1:31" x14ac:dyDescent="0.3">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row>
    <row r="426" spans="1:31" x14ac:dyDescent="0.3">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row>
    <row r="427" spans="1:31" x14ac:dyDescent="0.3">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row>
    <row r="428" spans="1:31" x14ac:dyDescent="0.3">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row>
    <row r="429" spans="1:31" x14ac:dyDescent="0.3">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row>
    <row r="430" spans="1:31" x14ac:dyDescent="0.3">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row>
    <row r="431" spans="1:31" x14ac:dyDescent="0.3">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row>
    <row r="432" spans="1:31" x14ac:dyDescent="0.3">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row>
    <row r="433" spans="1:31" x14ac:dyDescent="0.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row>
    <row r="434" spans="1:31" x14ac:dyDescent="0.3">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row>
    <row r="435" spans="1:31" x14ac:dyDescent="0.3">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row>
    <row r="436" spans="1:31" x14ac:dyDescent="0.3">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row>
    <row r="437" spans="1:31" x14ac:dyDescent="0.3">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row>
    <row r="438" spans="1:31" x14ac:dyDescent="0.3">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row>
    <row r="439" spans="1:31" x14ac:dyDescent="0.3">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row>
    <row r="440" spans="1:31" x14ac:dyDescent="0.3">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row>
    <row r="441" spans="1:31" x14ac:dyDescent="0.3">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row>
    <row r="442" spans="1:31" x14ac:dyDescent="0.3">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row>
    <row r="443" spans="1:31" x14ac:dyDescent="0.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row>
    <row r="444" spans="1:31" x14ac:dyDescent="0.3">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row>
    <row r="445" spans="1:31" x14ac:dyDescent="0.3">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row>
    <row r="446" spans="1:31" x14ac:dyDescent="0.3">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row>
    <row r="447" spans="1:31" x14ac:dyDescent="0.3">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row>
    <row r="448" spans="1:31" x14ac:dyDescent="0.3">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row>
    <row r="449" spans="1:31" x14ac:dyDescent="0.3">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row>
    <row r="450" spans="1:31" x14ac:dyDescent="0.3">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row>
    <row r="451" spans="1:31" x14ac:dyDescent="0.3">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row>
    <row r="452" spans="1:31" x14ac:dyDescent="0.3">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row>
    <row r="453" spans="1:31" x14ac:dyDescent="0.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row>
    <row r="454" spans="1:31" x14ac:dyDescent="0.3">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row>
    <row r="455" spans="1:31" x14ac:dyDescent="0.3">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row>
    <row r="456" spans="1:31" x14ac:dyDescent="0.3">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row>
    <row r="457" spans="1:31" x14ac:dyDescent="0.3">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row>
    <row r="458" spans="1:31" x14ac:dyDescent="0.3">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row>
    <row r="459" spans="1:31" x14ac:dyDescent="0.3">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row>
    <row r="460" spans="1:31" x14ac:dyDescent="0.3">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row>
    <row r="461" spans="1:31" x14ac:dyDescent="0.3">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row>
    <row r="462" spans="1:31" x14ac:dyDescent="0.3">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row>
    <row r="463" spans="1:31" x14ac:dyDescent="0.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row>
    <row r="464" spans="1:31" x14ac:dyDescent="0.3">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row>
  </sheetData>
  <mergeCells count="4">
    <mergeCell ref="A1:AP1"/>
    <mergeCell ref="H6:M8"/>
    <mergeCell ref="H26:L27"/>
    <mergeCell ref="V6:AI8"/>
  </mergeCells>
  <conditionalFormatting sqref="L10:N10 M11:N11 L12:N19">
    <cfRule type="containsText" dxfId="0" priority="1" operator="containsText" text="EDUCATION">
      <formula>NOT(ISERROR(SEARCH("EDUCATION",L10)))</formula>
    </cfRule>
  </conditionalFormatting>
  <pageMargins left="0.7" right="0.7" top="0.75" bottom="0.75" header="0.3" footer="0.3"/>
  <pageSetup scale="18"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transactions</vt:lpstr>
      <vt:lpstr>PIVOT 1</vt:lpstr>
      <vt:lpstr>PIVOT 2</vt:lpstr>
      <vt:lpstr>PIVOT 3</vt:lpstr>
      <vt:lpstr>summary</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RATHIKA PRIYANKA S A</dc:creator>
  <cp:lastModifiedBy>RATHIKA PRIYANKA S A</cp:lastModifiedBy>
  <cp:lastPrinted>2026-10-02T09:40:39Z</cp:lastPrinted>
  <dcterms:created xsi:type="dcterms:W3CDTF">2026-09-25T05:20:05Z</dcterms:created>
  <dcterms:modified xsi:type="dcterms:W3CDTF">2026-10-27T09:20:04Z</dcterms:modified>
</cp:coreProperties>
</file>